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264" firstSheet="10" activeTab="8"/>
  </bookViews>
  <sheets>
    <sheet name="HealthCareApp" sheetId="3" r:id="rId1"/>
    <sheet name="OpenApp" sheetId="4" r:id="rId2"/>
    <sheet name="Acmeapp" sheetId="1" r:id="rId3"/>
    <sheet name="CamundaApp" sheetId="2" r:id="rId4"/>
    <sheet name="All view" sheetId="6" r:id="rId5"/>
    <sheet name=" results" sheetId="7" r:id="rId6"/>
    <sheet name="final resualts" sheetId="10" r:id="rId7"/>
    <sheet name="owl_analysis_chart" sheetId="12" r:id="rId8"/>
    <sheet name="Three-panel Chart" sheetId="1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<sst xmlns="http://schemas.openxmlformats.org/spreadsheetml/2006/main" count="337" uniqueCount="140">
  <si>
    <t xml:space="preserve">Refactoring </t>
  </si>
  <si>
    <t xml:space="preserve"> مقایسه وضعیت مدل (قبل و بعد از بازآرایی)</t>
  </si>
  <si>
    <t>smells</t>
  </si>
  <si>
    <t>Extracted</t>
  </si>
  <si>
    <t># added Ele.</t>
  </si>
  <si>
    <t># removed Ele.</t>
  </si>
  <si>
    <t xml:space="preserve"># added Rel. </t>
  </si>
  <si>
    <t>#removed Rel.</t>
  </si>
  <si>
    <t>سنجه (Metric)</t>
  </si>
  <si>
    <t>قبل از بازآرایی</t>
  </si>
  <si>
    <t>تغییرات خالص</t>
  </si>
  <si>
    <t>بعد از بازآرایی</t>
  </si>
  <si>
    <t>End Event Missing</t>
  </si>
  <si>
    <t>Detected</t>
  </si>
  <si>
    <t>تعداد کل گره‌ها (Nodes)</t>
  </si>
  <si>
    <t>۴+</t>
  </si>
  <si>
    <t>Start Event Missing</t>
  </si>
  <si>
    <t>تعداد کل روابط (Relationships)</t>
  </si>
  <si>
    <t>نام بوی بد (Smell)</t>
  </si>
  <si>
    <t>تعداد شناسایی‌شده</t>
  </si>
  <si>
    <t>گره اضافه (+)</t>
  </si>
  <si>
    <t>گره حذف (−)</t>
  </si>
  <si>
    <t>رابطه اضافه (+)</t>
  </si>
  <si>
    <t>رابطه حذف (−)</t>
  </si>
  <si>
    <t>۲+</t>
  </si>
  <si>
    <t>مجموع کل تغییرات</t>
  </si>
  <si>
    <t>مقایسه وضعیت مدل OpenApp (قبل و بعد از بازآرایی)</t>
  </si>
  <si>
    <t>Incomplete Pairs</t>
  </si>
  <si>
    <t>۵+</t>
  </si>
  <si>
    <t>۱+</t>
  </si>
  <si>
    <t xml:space="preserve">کل عناصر مدل مرجع </t>
  </si>
  <si>
    <t>کل عناصر استخراج شده قبل پالایش اسمل</t>
  </si>
  <si>
    <t>عناصر درست استخراج شده قبل پالایش اسمل</t>
  </si>
  <si>
    <t>کل عناصر استخراج شده بعد پالایش اسمل</t>
  </si>
  <si>
    <t>عناصر درست استخراج شده بعد پالایش اسمل</t>
  </si>
  <si>
    <t>دقت قبل از پالایش اسمل</t>
  </si>
  <si>
    <t>دقت بعد از پالایش اسمل</t>
  </si>
  <si>
    <t>بازیابی  قبل از پالایش اسمل</t>
  </si>
  <si>
    <t>بازیابی بعد از پالایش اسمل</t>
  </si>
  <si>
    <t>Smells Extracted</t>
  </si>
  <si>
    <t>گره مدل</t>
  </si>
  <si>
    <t>کلید منطبق</t>
  </si>
  <si>
    <t>مکمل مورد انتظار</t>
  </si>
  <si>
    <t>مکمل در مدل موجود است؟</t>
  </si>
  <si>
    <t>اسمل؟</t>
  </si>
  <si>
    <t>Create Order</t>
  </si>
  <si>
    <t>create</t>
  </si>
  <si>
    <t>destroy (Destroy Order)</t>
  </si>
  <si>
    <t>❌</t>
  </si>
  <si>
    <t>✅ اسمل</t>
  </si>
  <si>
    <t>Create Cart</t>
  </si>
  <si>
    <t>destroy (Destroy Cart)</t>
  </si>
  <si>
    <t>نام بوی معماری</t>
  </si>
  <si>
    <t>۳+</t>
  </si>
  <si>
    <t>Duplication</t>
  </si>
  <si>
    <t>۳−</t>
  </si>
  <si>
    <t>۱۲ مورد</t>
  </si>
  <si>
    <t>۹+</t>
  </si>
  <si>
    <t>Cyclic Dependency</t>
  </si>
  <si>
    <t>Dense Structure</t>
  </si>
  <si>
    <t>Message Chain</t>
  </si>
  <si>
    <t>Missing Abstraction</t>
  </si>
  <si>
    <t>Multifaceted Abstraction</t>
  </si>
  <si>
    <t>Shared Persistency</t>
  </si>
  <si>
    <t>Shotgun Surgery</t>
  </si>
  <si>
    <t>Useless Test</t>
  </si>
  <si>
    <t>OpenApp</t>
  </si>
  <si>
    <t>Test Case 1: The Healthcare Insurance Application</t>
  </si>
  <si>
    <t>Test Case 2: Arch Insurance Claim</t>
  </si>
  <si>
    <t>Test Case 3: The Loyalty Card Management</t>
  </si>
  <si>
    <t>Test Case 4: E-commerce</t>
  </si>
  <si>
    <t>Table 11 - EA Process View Extraction Quantitative Performance</t>
  </si>
  <si>
    <t>Metric</t>
  </si>
  <si>
    <t>Formula</t>
  </si>
  <si>
    <t>Result</t>
  </si>
  <si>
    <t>Teste Case</t>
  </si>
  <si>
    <t>Recall</t>
  </si>
  <si>
    <t>Precision</t>
  </si>
  <si>
    <t>F-score</t>
  </si>
  <si>
    <t>Quantitative Fitness</t>
  </si>
  <si>
    <t>=7/(7+0)</t>
  </si>
  <si>
    <t>=5/(5+0)</t>
  </si>
  <si>
    <t>=11/(11+0)</t>
  </si>
  <si>
    <t>=6/(6+0)</t>
  </si>
  <si>
    <t>1: Healthcare</t>
  </si>
  <si>
    <t>0.58</t>
  </si>
  <si>
    <t>0.73</t>
  </si>
  <si>
    <t>0.63</t>
  </si>
  <si>
    <t>=7/(7+5)</t>
  </si>
  <si>
    <t>=5/(5+1)</t>
  </si>
  <si>
    <t>0.83</t>
  </si>
  <si>
    <t>=11/(11+3)</t>
  </si>
  <si>
    <t>0.79</t>
  </si>
  <si>
    <t>=6/(6+2)</t>
  </si>
  <si>
    <t>0.75</t>
  </si>
  <si>
    <t>2: Arch Insurance Claim</t>
  </si>
  <si>
    <t>0.90</t>
  </si>
  <si>
    <t>0.91</t>
  </si>
  <si>
    <t>F1 Score</t>
  </si>
  <si>
    <t>=2*(0.58*1)/(0.58+1)</t>
  </si>
  <si>
    <t>=2*(0.83*1)/(0.83+1)</t>
  </si>
  <si>
    <t>=2*(0.79*1)/(0.79+1)</t>
  </si>
  <si>
    <t>0.88</t>
  </si>
  <si>
    <t>=2*(0.75*1)/(0.75+1)</t>
  </si>
  <si>
    <t>0.86</t>
  </si>
  <si>
    <t>3: Loyalty Card Management</t>
  </si>
  <si>
    <t>0.80</t>
  </si>
  <si>
    <t>fcost(L,M)</t>
  </si>
  <si>
    <t>4: E-commerce</t>
  </si>
  <si>
    <t>fitness</t>
  </si>
  <si>
    <t>=1-7/(7+1*12)</t>
  </si>
  <si>
    <t>=1-1/(5+1*6)</t>
  </si>
  <si>
    <t>=1-5/(11+1*14)</t>
  </si>
  <si>
    <t>=1-3/(6+1*8)</t>
  </si>
  <si>
    <t>Average</t>
  </si>
  <si>
    <t>0.74</t>
  </si>
  <si>
    <t>0.85</t>
  </si>
  <si>
    <t>0.78</t>
  </si>
  <si>
    <t>Thesis</t>
  </si>
  <si>
    <t>TP</t>
  </si>
  <si>
    <t>predicted</t>
  </si>
  <si>
    <t>befor refactoring</t>
  </si>
  <si>
    <t>after refactoring</t>
  </si>
  <si>
    <t>FP</t>
  </si>
  <si>
    <t>FN</t>
  </si>
  <si>
    <t>TC 1: The Healthcare Insurance Application</t>
  </si>
  <si>
    <t>TC 2: Arch Insurance Claim</t>
  </si>
  <si>
    <t>TC 3: The Loyalty Card Management</t>
  </si>
  <si>
    <t>TC 4: E-commerce</t>
  </si>
  <si>
    <t>جدول تجمیعی و میانگین‌ها (Summary &amp; Averages)</t>
  </si>
  <si>
    <t>Model-quality metrics before and after smell-guided refinement</t>
  </si>
  <si>
    <t>F1-score</t>
  </si>
  <si>
    <t>Case study</t>
  </si>
  <si>
    <t>Before refinement</t>
  </si>
  <si>
    <t>After refinement</t>
  </si>
  <si>
    <t>Health insurance</t>
  </si>
  <si>
    <t>Insurance claims</t>
  </si>
  <si>
    <t xml:space="preserve">Loyalty-card </t>
  </si>
  <si>
    <t>E-commerce</t>
  </si>
  <si>
    <t>Loyalty-card 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</si>
</sst>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[$-ar-SA,300]0"/>
    <numFmt numFmtId="180" formatCode="0.0000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rgb="FF000000"/>
      <name val="TimesNewRomanPS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178" fontId="0" fillId="0" borderId="0" xfId="0" applyNumberFormat="1"/>
    <xf numFmtId="0" fontId="2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/>
    <xf numFmtId="0" fontId="0" fillId="4" borderId="0" xfId="0" applyFill="1"/>
    <xf numFmtId="0" fontId="0" fillId="5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/>
    <xf numFmtId="0" fontId="0" fillId="10" borderId="0" xfId="0" applyFill="1" applyAlignment="1">
      <alignment horizont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/>
    <xf numFmtId="0" fontId="0" fillId="11" borderId="0" xfId="0" applyFill="1" applyAlignment="1">
      <alignment horizontal="center"/>
    </xf>
    <xf numFmtId="18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200" b="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Precision</a:t>
            </a:r>
            <a:endParaRPr sz="1200" b="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45678467934988"/>
          <c:y val="0.099196326061997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owl_analysis_chart!$H$3</c:f>
              <c:strCache>
                <c:ptCount val="1"/>
                <c:pt idx="0">
                  <c:v>Before refinement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owl_analysis_chart!$G$4:$G$7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</c:v>
                </c:pt>
                <c:pt idx="3">
                  <c:v>E-commerce</c:v>
                </c:pt>
              </c:strCache>
            </c:strRef>
          </c:cat>
          <c:val>
            <c:numRef>
              <c:f>owl_analysis_chart!$H$4:$H$7</c:f>
              <c:numCache>
                <c:formatCode>General</c:formatCode>
                <c:ptCount val="4"/>
                <c:pt idx="0">
                  <c:v>1</c:v>
                </c:pt>
                <c:pt idx="1">
                  <c:v>0.625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owl_analysis_chart!$I$3</c:f>
              <c:strCache>
                <c:ptCount val="1"/>
                <c:pt idx="0">
                  <c:v>After refinement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owl_analysis_chart!$G$4:$G$7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</c:v>
                </c:pt>
                <c:pt idx="3">
                  <c:v>E-commerce</c:v>
                </c:pt>
              </c:strCache>
            </c:strRef>
          </c:cat>
          <c:val>
            <c:numRef>
              <c:f>owl_analysis_chart!$I$4:$I$7</c:f>
              <c:numCache>
                <c:formatCode>General</c:formatCode>
                <c:ptCount val="4"/>
                <c:pt idx="0">
                  <c:v>1</c:v>
                </c:pt>
                <c:pt idx="1">
                  <c:v>0.727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Score</a:t>
                </a:r>
                <a:endParaRPr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107849313342573"/>
              <c:y val="0.4611021814006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a355f7-436c-46af-9bd6-f5ceae58e5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200" b="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Recall</a:t>
            </a:r>
            <a:endParaRPr sz="1200" b="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427113518961824"/>
          <c:y val="0.09092996555683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owl_analysis_chart!$M$3</c:f>
              <c:strCache>
                <c:ptCount val="1"/>
                <c:pt idx="0">
                  <c:v>Before refinement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owl_analysis_chart!$L$4:$L$7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</c:v>
                </c:pt>
                <c:pt idx="3">
                  <c:v>E-commerce</c:v>
                </c:pt>
              </c:strCache>
            </c:strRef>
          </c:cat>
          <c:val>
            <c:numRef>
              <c:f>owl_analysis_chart!$M$4:$M$7</c:f>
              <c:numCache>
                <c:formatCode>General</c:formatCode>
                <c:ptCount val="4"/>
                <c:pt idx="0">
                  <c:v>0.588</c:v>
                </c:pt>
                <c:pt idx="1">
                  <c:v>0.625</c:v>
                </c:pt>
                <c:pt idx="2">
                  <c:v>0.579</c:v>
                </c:pt>
                <c:pt idx="3">
                  <c:v>0.462</c:v>
                </c:pt>
              </c:numCache>
            </c:numRef>
          </c:val>
        </c:ser>
        <c:ser>
          <c:idx val="1"/>
          <c:order val="1"/>
          <c:tx>
            <c:strRef>
              <c:f>owl_analysis_chart!$N$3</c:f>
              <c:strCache>
                <c:ptCount val="1"/>
                <c:pt idx="0">
                  <c:v>After refinement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owl_analysis_chart!$L$4:$L$7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</c:v>
                </c:pt>
                <c:pt idx="3">
                  <c:v>E-commerce</c:v>
                </c:pt>
              </c:strCache>
            </c:strRef>
          </c:cat>
          <c:val>
            <c:numRef>
              <c:f>owl_analysis_chart!$N$4:$N$7</c:f>
              <c:numCache>
                <c:formatCode>General</c:formatCode>
                <c:ptCount val="4"/>
                <c:pt idx="0">
                  <c:v>0.647</c:v>
                </c:pt>
                <c:pt idx="1">
                  <c:v>1</c:v>
                </c:pt>
                <c:pt idx="2">
                  <c:v>0.895</c:v>
                </c:pt>
                <c:pt idx="3">
                  <c:v>0.692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Score</a:t>
                </a:r>
                <a:endParaRPr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12296837596069"/>
              <c:y val="0.43331802525832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47571d-bb07-4b72-acb5-93c2ef1963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200" b="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F1-score</a:t>
            </a:r>
            <a:endParaRPr sz="1200" b="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461950359077737"/>
          <c:y val="0.1184845005740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owl_analysis_chart!$R$3</c:f>
              <c:strCache>
                <c:ptCount val="1"/>
                <c:pt idx="0">
                  <c:v>Before refinement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owl_analysis_chart!$Q$4:$Q$7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</c:v>
                </c:pt>
                <c:pt idx="3">
                  <c:v>E-commerce</c:v>
                </c:pt>
              </c:strCache>
            </c:strRef>
          </c:cat>
          <c:val>
            <c:numRef>
              <c:f>owl_analysis_chart!$R$4:$R$7</c:f>
              <c:numCache>
                <c:formatCode>General</c:formatCode>
                <c:ptCount val="4"/>
                <c:pt idx="0">
                  <c:v>0.741</c:v>
                </c:pt>
                <c:pt idx="1">
                  <c:v>0.625</c:v>
                </c:pt>
                <c:pt idx="2">
                  <c:v>0.733</c:v>
                </c:pt>
                <c:pt idx="3">
                  <c:v>0.632</c:v>
                </c:pt>
              </c:numCache>
            </c:numRef>
          </c:val>
        </c:ser>
        <c:ser>
          <c:idx val="1"/>
          <c:order val="1"/>
          <c:tx>
            <c:strRef>
              <c:f>owl_analysis_chart!$S$3</c:f>
              <c:strCache>
                <c:ptCount val="1"/>
                <c:pt idx="0">
                  <c:v>After refinement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owl_analysis_chart!$Q$4:$Q$7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</c:v>
                </c:pt>
                <c:pt idx="3">
                  <c:v>E-commerce</c:v>
                </c:pt>
              </c:strCache>
            </c:strRef>
          </c:cat>
          <c:val>
            <c:numRef>
              <c:f>owl_analysis_chart!$S$4:$S$7</c:f>
              <c:numCache>
                <c:formatCode>General</c:formatCode>
                <c:ptCount val="4"/>
                <c:pt idx="0">
                  <c:v>0.786</c:v>
                </c:pt>
                <c:pt idx="1">
                  <c:v>0.842</c:v>
                </c:pt>
                <c:pt idx="2">
                  <c:v>0.944</c:v>
                </c:pt>
                <c:pt idx="3">
                  <c:v>0.818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200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Score</a:t>
                </a:r>
                <a:endParaRPr sz="1200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127504094746126"/>
              <c:y val="0.4584615384615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9b0248-6ed7-4e64-a2f8-583152bbd1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20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Precision</a:t>
            </a:r>
            <a:endParaRPr sz="120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'Three-panel Chart'!$B$1</c:f>
              <c:strCache>
                <c:ptCount val="1"/>
                <c:pt idx="0">
                  <c:v>Before refinement</c:v>
                </c:pt>
              </c:strCache>
            </c:strRef>
          </c:tx>
          <c:spPr>
            <a:ln w="6350" cap="flat" cmpd="sng" algn="ctr">
              <a:solidFill>
                <a:schemeClr val="lt1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'Three-panel Chart'!$A$2:$A$5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management</c:v>
                </c:pt>
                <c:pt idx="3">
                  <c:v>E-commerce</c:v>
                </c:pt>
              </c:strCache>
            </c:strRef>
          </c:cat>
          <c:val>
            <c:numRef>
              <c:f>'Three-panel Chart'!$B$2:$B$5</c:f>
              <c:numCache>
                <c:formatCode>0.000</c:formatCode>
                <c:ptCount val="4"/>
                <c:pt idx="0">
                  <c:v>1</c:v>
                </c:pt>
                <c:pt idx="1">
                  <c:v>0.625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'Three-panel Chart'!$C$1</c:f>
              <c:strCache>
                <c:ptCount val="1"/>
                <c:pt idx="0">
                  <c:v>After refinement</c:v>
                </c:pt>
              </c:strCache>
            </c:strRef>
          </c:tx>
          <c:spPr>
            <a:ln w="6350" cap="flat" cmpd="sng" algn="ctr">
              <a:solidFill>
                <a:schemeClr val="lt1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'Three-panel Chart'!$A$2:$A$5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management</c:v>
                </c:pt>
                <c:pt idx="3">
                  <c:v>E-commerce</c:v>
                </c:pt>
              </c:strCache>
            </c:strRef>
          </c:cat>
          <c:val>
            <c:numRef>
              <c:f>'Three-panel Chart'!$C$2:$C$5</c:f>
              <c:numCache>
                <c:formatCode>0.000</c:formatCode>
                <c:ptCount val="4"/>
                <c:pt idx="0">
                  <c:v>1</c:v>
                </c:pt>
                <c:pt idx="1">
                  <c:v>0.727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05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Score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a009fe-35bd-4c86-9637-79d16d2e99ad}"/>
      </c:ext>
    </c:extLst>
  </c:chart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20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Recall</a:t>
            </a:r>
            <a:endParaRPr sz="120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'Three-panel Chart'!$I$1</c:f>
              <c:strCache>
                <c:ptCount val="1"/>
                <c:pt idx="0">
                  <c:v>Before refinement</c:v>
                </c:pt>
              </c:strCache>
            </c:strRef>
          </c:tx>
          <c:spPr>
            <a:ln w="6350" cap="flat" cmpd="sng" algn="ctr">
              <a:solidFill>
                <a:schemeClr val="lt1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'Three-panel Chart'!$H$2:$H$5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management</c:v>
                </c:pt>
                <c:pt idx="3">
                  <c:v>E-commerce</c:v>
                </c:pt>
              </c:strCache>
            </c:strRef>
          </c:cat>
          <c:val>
            <c:numRef>
              <c:f>'Three-panel Chart'!$I$2:$I$5</c:f>
              <c:numCache>
                <c:formatCode>0.000</c:formatCode>
                <c:ptCount val="4"/>
                <c:pt idx="0">
                  <c:v>0.588</c:v>
                </c:pt>
                <c:pt idx="1">
                  <c:v>0.625</c:v>
                </c:pt>
                <c:pt idx="2">
                  <c:v>0.579</c:v>
                </c:pt>
                <c:pt idx="3">
                  <c:v>0.462</c:v>
                </c:pt>
              </c:numCache>
            </c:numRef>
          </c:val>
        </c:ser>
        <c:ser>
          <c:idx val="1"/>
          <c:order val="1"/>
          <c:tx>
            <c:strRef>
              <c:f>'Three-panel Chart'!$J$1</c:f>
              <c:strCache>
                <c:ptCount val="1"/>
                <c:pt idx="0">
                  <c:v>After refinement</c:v>
                </c:pt>
              </c:strCache>
            </c:strRef>
          </c:tx>
          <c:spPr>
            <a:ln w="6350" cap="flat" cmpd="sng" algn="ctr">
              <a:solidFill>
                <a:schemeClr val="lt1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'Three-panel Chart'!$H$2:$H$5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management</c:v>
                </c:pt>
                <c:pt idx="3">
                  <c:v>E-commerce</c:v>
                </c:pt>
              </c:strCache>
            </c:strRef>
          </c:cat>
          <c:val>
            <c:numRef>
              <c:f>'Three-panel Chart'!$J$2:$J$5</c:f>
              <c:numCache>
                <c:formatCode>0.000</c:formatCode>
                <c:ptCount val="4"/>
                <c:pt idx="0">
                  <c:v>0.647</c:v>
                </c:pt>
                <c:pt idx="1">
                  <c:v>1</c:v>
                </c:pt>
                <c:pt idx="2">
                  <c:v>0.895</c:v>
                </c:pt>
                <c:pt idx="3">
                  <c:v>0.692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05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Score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eeda86-0a88-4097-a692-a2867de6d659}"/>
      </c:ext>
    </c:extLst>
  </c:chart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sz="120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F1-score</a:t>
            </a:r>
            <a:endParaRPr sz="120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'Three-panel Chart'!$P$1</c:f>
              <c:strCache>
                <c:ptCount val="1"/>
                <c:pt idx="0">
                  <c:v>Before refinement</c:v>
                </c:pt>
              </c:strCache>
            </c:strRef>
          </c:tx>
          <c:spPr>
            <a:ln w="6350" cap="flat" cmpd="sng" algn="ctr">
              <a:solidFill>
                <a:schemeClr val="lt1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'Three-panel Chart'!$O$2:$O$5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management</c:v>
                </c:pt>
                <c:pt idx="3">
                  <c:v>E-commerce</c:v>
                </c:pt>
              </c:strCache>
            </c:strRef>
          </c:cat>
          <c:val>
            <c:numRef>
              <c:f>'Three-panel Chart'!$P$2:$P$5</c:f>
              <c:numCache>
                <c:formatCode>0.000</c:formatCode>
                <c:ptCount val="4"/>
                <c:pt idx="0">
                  <c:v>0.741</c:v>
                </c:pt>
                <c:pt idx="1">
                  <c:v>0.625</c:v>
                </c:pt>
                <c:pt idx="2">
                  <c:v>0.733</c:v>
                </c:pt>
                <c:pt idx="3">
                  <c:v>0.632</c:v>
                </c:pt>
              </c:numCache>
            </c:numRef>
          </c:val>
        </c:ser>
        <c:ser>
          <c:idx val="1"/>
          <c:order val="1"/>
          <c:tx>
            <c:strRef>
              <c:f>'Three-panel Chart'!$Q$1</c:f>
              <c:strCache>
                <c:ptCount val="1"/>
                <c:pt idx="0">
                  <c:v>After refinement</c:v>
                </c:pt>
              </c:strCache>
            </c:strRef>
          </c:tx>
          <c:spPr>
            <a:ln w="6350" cap="flat" cmpd="sng" algn="ctr">
              <a:solidFill>
                <a:schemeClr val="lt1"/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'Three-panel Chart'!$O$2:$O$5</c:f>
              <c:strCache>
                <c:ptCount val="4"/>
                <c:pt idx="0">
                  <c:v>Health insurance</c:v>
                </c:pt>
                <c:pt idx="1">
                  <c:v>Insurance claims</c:v>
                </c:pt>
                <c:pt idx="2">
                  <c:v>Loyalty-card management</c:v>
                </c:pt>
                <c:pt idx="3">
                  <c:v>E-commerce</c:v>
                </c:pt>
              </c:strCache>
            </c:strRef>
          </c:cat>
          <c:val>
            <c:numRef>
              <c:f>'Three-panel Chart'!$Q$2:$Q$5</c:f>
              <c:numCache>
                <c:formatCode>0.000</c:formatCode>
                <c:ptCount val="4"/>
                <c:pt idx="0">
                  <c:v>0.786</c:v>
                </c:pt>
                <c:pt idx="1">
                  <c:v>0.842</c:v>
                </c:pt>
                <c:pt idx="2">
                  <c:v>0.944</c:v>
                </c:pt>
                <c:pt idx="3">
                  <c:v>0.818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ax val="1.05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Score</a:t>
                </a:r>
                <a:endParaRPr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</c:title>
        <c:numFmt formatCode="0.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09f3b7-2d3b-4c4f-87b6-1e796449764c}"/>
      </c:ext>
    </c:extLst>
  </c:chart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104458</xdr:colOff>
      <xdr:row>5</xdr:row>
      <xdr:rowOff>53318</xdr:rowOff>
    </xdr:from>
    <xdr:to>
      <xdr:col>21</xdr:col>
      <xdr:colOff>506730</xdr:colOff>
      <xdr:row>11</xdr:row>
      <xdr:rowOff>62865</xdr:rowOff>
    </xdr:to>
    <xdr:grpSp>
      <xdr:nvGrpSpPr>
        <xdr:cNvPr id="7" name="Group 6"/>
        <xdr:cNvGrpSpPr/>
      </xdr:nvGrpSpPr>
      <xdr:grpSpPr>
        <a:xfrm>
          <a:off x="11793220" y="967105"/>
          <a:ext cx="5378450" cy="1107440"/>
          <a:chOff x="7709218" y="1704953"/>
          <a:chExt cx="5319077" cy="1106827"/>
        </a:xfrm>
      </xdr:grpSpPr>
      <xdr:pic>
        <xdr:nvPicPr>
          <xdr:cNvPr id="5" name="Picture 4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7709218" y="1704953"/>
            <a:ext cx="5319077" cy="1106827"/>
          </a:xfrm>
          <a:prstGeom prst="rect">
            <a:avLst/>
          </a:prstGeom>
        </xdr:spPr>
      </xdr:pic>
      <xdr:sp>
        <xdr:nvSpPr>
          <xdr:cNvPr id="6" name="TextBox 5"/>
          <xdr:cNvSpPr txBox="1"/>
        </xdr:nvSpPr>
        <xdr:spPr>
          <a:xfrm>
            <a:off x="9806940" y="1737360"/>
            <a:ext cx="102970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a-IR" sz="1100"/>
              <a:t>عناصر</a:t>
            </a:r>
            <a:r>
              <a:rPr lang="fa-IR" sz="1100" baseline="0"/>
              <a:t> مدل مرجع</a:t>
            </a:r>
            <a:endParaRPr lang="en-US" sz="1100"/>
          </a:p>
        </xdr:txBody>
      </xdr:sp>
    </xdr:grpSp>
    <xdr:clientData/>
  </xdr:twoCellAnchor>
  <xdr:twoCellAnchor>
    <xdr:from>
      <xdr:col>12</xdr:col>
      <xdr:colOff>135255</xdr:colOff>
      <xdr:row>12</xdr:row>
      <xdr:rowOff>167640</xdr:rowOff>
    </xdr:from>
    <xdr:to>
      <xdr:col>21</xdr:col>
      <xdr:colOff>561975</xdr:colOff>
      <xdr:row>26</xdr:row>
      <xdr:rowOff>88382</xdr:rowOff>
    </xdr:to>
    <xdr:grpSp>
      <xdr:nvGrpSpPr>
        <xdr:cNvPr id="10" name="Group 9"/>
        <xdr:cNvGrpSpPr/>
      </xdr:nvGrpSpPr>
      <xdr:grpSpPr>
        <a:xfrm>
          <a:off x="11108055" y="2362200"/>
          <a:ext cx="6118860" cy="2480945"/>
          <a:chOff x="7139940" y="2941320"/>
          <a:chExt cx="6057900" cy="2479157"/>
        </a:xfrm>
      </xdr:grpSpPr>
      <xdr:pic>
        <xdr:nvPicPr>
          <xdr:cNvPr id="8" name="Picture 7"/>
          <xdr:cNvPicPr>
            <a:picLocks noChangeAspect="1" noChangeArrowheads="1"/>
          </xdr:cNvPicPr>
        </xdr:nvPicPr>
        <xdr:blipFill>
          <a:blip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7139940" y="2941320"/>
            <a:ext cx="6057900" cy="24791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9" name="TextBox 8"/>
          <xdr:cNvSpPr txBox="1"/>
        </xdr:nvSpPr>
        <xdr:spPr>
          <a:xfrm>
            <a:off x="7223760" y="3093720"/>
            <a:ext cx="201234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fa-IR" sz="1100"/>
              <a:t>عناصر استخراج شده قبل</a:t>
            </a:r>
            <a:r>
              <a:rPr lang="fa-IR" sz="1100" baseline="0"/>
              <a:t> از پالایش مدل</a:t>
            </a:r>
            <a:endParaRPr lang="en-US" sz="1100"/>
          </a:p>
        </xdr:txBody>
      </xdr:sp>
    </xdr:grpSp>
    <xdr:clientData/>
  </xdr:twoCellAnchor>
  <xdr:oneCellAnchor>
    <xdr:from>
      <xdr:col>1</xdr:col>
      <xdr:colOff>167640</xdr:colOff>
      <xdr:row>35</xdr:row>
      <xdr:rowOff>129540</xdr:rowOff>
    </xdr:from>
    <xdr:ext cx="3558540" cy="685124"/>
    <xdr:sp>
      <xdr:nvSpPr>
        <xdr:cNvPr id="11" name="TextBox 10"/>
        <xdr:cNvSpPr txBox="1"/>
      </xdr:nvSpPr>
      <xdr:spPr>
        <a:xfrm>
          <a:off x="784860" y="6530340"/>
          <a:ext cx="3558540" cy="68453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fa-I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B Titr" panose="00000700000000000000" pitchFamily="2" charset="-78"/>
            </a:rPr>
            <a:t>محاسبات مقاله قبل</a:t>
          </a:r>
          <a:endParaRPr lang="fa-IR" sz="1100" b="0" i="0" u="none" strike="noStrike">
            <a:solidFill>
              <a:schemeClr val="tx1"/>
            </a:solidFill>
            <a:effectLst/>
            <a:latin typeface="+mn-lt"/>
            <a:ea typeface="+mn-ea"/>
            <a:cs typeface="B Titr" panose="00000700000000000000" pitchFamily="2" charset="-78"/>
          </a:endParaRP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extraction got 5 (TP) of 6 predicted tasks</a:t>
          </a:r>
          <a:r>
            <a:rPr lang="fa-I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“Information” was the only FP. All the rest are in the correct order.</a:t>
          </a:r>
          <a:endParaRPr lang="en-US" sz="1100"/>
        </a:p>
      </xdr:txBody>
    </xdr:sp>
    <xdr:clientData/>
  </xdr:oneCellAnchor>
  <xdr:twoCellAnchor editAs="oneCell">
    <xdr:from>
      <xdr:col>1</xdr:col>
      <xdr:colOff>626745</xdr:colOff>
      <xdr:row>39</xdr:row>
      <xdr:rowOff>161925</xdr:rowOff>
    </xdr:from>
    <xdr:to>
      <xdr:col>3</xdr:col>
      <xdr:colOff>512197</xdr:colOff>
      <xdr:row>49</xdr:row>
      <xdr:rowOff>169545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43965" y="7294245"/>
          <a:ext cx="2727325" cy="183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632460</xdr:colOff>
      <xdr:row>2</xdr:row>
      <xdr:rowOff>152400</xdr:rowOff>
    </xdr:from>
    <xdr:to>
      <xdr:col>10</xdr:col>
      <xdr:colOff>3101340</xdr:colOff>
      <xdr:row>18</xdr:row>
      <xdr:rowOff>144780</xdr:rowOff>
    </xdr:to>
    <xdr:sp>
      <xdr:nvSpPr>
        <xdr:cNvPr id="2" name="TextBox 1"/>
        <xdr:cNvSpPr txBox="1"/>
      </xdr:nvSpPr>
      <xdr:spPr>
        <a:xfrm>
          <a:off x="9387840" y="518160"/>
          <a:ext cx="3863340" cy="2918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r>
            <a:rPr lang="fa-IR" b="1"/>
            <a:t>بازآرایی </a:t>
          </a:r>
          <a:r>
            <a:rPr lang="en-US" b="1"/>
            <a:t>Incomplete Pairs</a:t>
          </a:r>
          <a:endParaRPr lang="fa-IR" b="1"/>
        </a:p>
        <a:p>
          <a:pPr rtl="1"/>
          <a:r>
            <a:rPr lang="fa-IR" b="1"/>
            <a:t>رویکرد ۱: افزودن گره‌های مکمل متقارن (تکمیل چرخه‌ی عمر انتزاع - راه‌حل استاندارد EA)</a:t>
          </a:r>
          <a:endParaRPr lang="fa-IR" b="1"/>
        </a:p>
        <a:p>
          <a:pPr rtl="1"/>
          <a:r>
            <a:rPr lang="fa-IR"/>
            <a:t>در این روش، توابع مکمل مدیریت چرخه‌ی عمر را به مدل اضافه می‌کنیم تا انتزاع‌ها کامل و خودکفا شوند:</a:t>
          </a:r>
          <a:endParaRPr lang="fa-IR"/>
        </a:p>
        <a:p>
          <a:pPr rtl="1">
            <a:buFont typeface="+mj-lt"/>
            <a:buAutoNum type="arabicPeriod"/>
          </a:pPr>
          <a:r>
            <a:rPr lang="fa-IR" b="1"/>
            <a:t>برای Create Cart:</a:t>
          </a:r>
          <a:endParaRPr lang="fa-IR"/>
        </a:p>
        <a:p>
          <a:pPr marL="742950" lvl="1" indent="-285750" rtl="1">
            <a:buFont typeface="+mj-lt"/>
            <a:buAutoNum type="arabicPeriod"/>
          </a:pPr>
          <a:r>
            <a:rPr lang="fa-IR"/>
            <a:t>اضافه کردن یک Business Function/Event به نام </a:t>
          </a:r>
          <a:r>
            <a:rPr lang="fa-IR" b="1"/>
            <a:t>Destroy Cart</a:t>
          </a:r>
          <a:r>
            <a:rPr lang="fa-IR"/>
            <a:t> (یا Delete Cart).</a:t>
          </a:r>
          <a:endParaRPr lang="fa-IR"/>
        </a:p>
        <a:p>
          <a:pPr marL="742950" lvl="1" indent="-285750" rtl="1">
            <a:buFont typeface="+mj-lt"/>
            <a:buAutoNum type="arabicPeriod"/>
          </a:pPr>
          <a:r>
            <a:rPr lang="fa-IR"/>
            <a:t>جریان منطقی: اگر کاربر خرید را لغو کرد یا سبد منقضی شد، این فرایند فراخوانی می‌شود.</a:t>
          </a:r>
          <a:endParaRPr lang="fa-IR"/>
        </a:p>
        <a:p>
          <a:pPr rtl="1">
            <a:buFont typeface="+mj-lt"/>
            <a:buAutoNum type="arabicPeriod"/>
          </a:pPr>
          <a:r>
            <a:rPr lang="fa-IR" b="1"/>
            <a:t>برای Create Order:</a:t>
          </a:r>
          <a:endParaRPr lang="fa-IR"/>
        </a:p>
        <a:p>
          <a:pPr marL="742950" lvl="1" indent="-285750" rtl="1">
            <a:buFont typeface="+mj-lt"/>
            <a:buAutoNum type="arabicPeriod"/>
          </a:pPr>
          <a:r>
            <a:rPr lang="fa-IR"/>
            <a:t>اضافه کردن یک Business Function/Event به نام </a:t>
          </a:r>
          <a:r>
            <a:rPr lang="fa-IR" b="1"/>
            <a:t>Destroy Order</a:t>
          </a:r>
          <a:r>
            <a:rPr lang="fa-IR"/>
            <a:t> (یا Cancel Order).</a:t>
          </a:r>
          <a:endParaRPr lang="fa-IR"/>
        </a:p>
        <a:p>
          <a:pPr marL="742950" lvl="1" indent="-285750" rtl="1">
            <a:buFont typeface="+mj-lt"/>
            <a:buAutoNum type="arabicPeriod"/>
          </a:pPr>
          <a:r>
            <a:rPr lang="fa-IR"/>
            <a:t>جریان منطقی: امکان لغو سفارش قبل از پرداخت نهایی.</a:t>
          </a:r>
          <a:endParaRPr lang="fa-IR"/>
        </a:p>
        <a:p>
          <a:endParaRPr lang="en-US" sz="1100"/>
        </a:p>
      </xdr:txBody>
    </xdr:sp>
    <xdr:clientData/>
  </xdr:twoCellAnchor>
  <xdr:twoCellAnchor>
    <xdr:from>
      <xdr:col>9</xdr:col>
      <xdr:colOff>609600</xdr:colOff>
      <xdr:row>19</xdr:row>
      <xdr:rowOff>121920</xdr:rowOff>
    </xdr:from>
    <xdr:to>
      <xdr:col>10</xdr:col>
      <xdr:colOff>3078480</xdr:colOff>
      <xdr:row>28</xdr:row>
      <xdr:rowOff>22860</xdr:rowOff>
    </xdr:to>
    <xdr:sp>
      <xdr:nvSpPr>
        <xdr:cNvPr id="5" name="TextBox 4"/>
        <xdr:cNvSpPr txBox="1"/>
      </xdr:nvSpPr>
      <xdr:spPr>
        <a:xfrm>
          <a:off x="9364980" y="3596640"/>
          <a:ext cx="3863340" cy="154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r>
            <a:rPr lang="fa-IR" b="1"/>
            <a:t>بازآرایی </a:t>
          </a:r>
          <a:r>
            <a:rPr lang="en-US" b="1"/>
            <a:t>End Event Missing</a:t>
          </a:r>
          <a:endParaRPr lang="fa-IR" b="1"/>
        </a:p>
        <a:p>
          <a:pPr rtl="1"/>
          <a:r>
            <a:rPr lang="fa-IR" b="1"/>
            <a:t>نتیجه بازآرایی (Refactoring) بر حسب نود و رابطه:</a:t>
          </a:r>
          <a:endParaRPr lang="fa-IR" b="1"/>
        </a:p>
        <a:p>
          <a:pPr rtl="1"/>
          <a:r>
            <a:rPr lang="fa-IR" b="1"/>
            <a:t>۱. گره‌ها (Nodes / Elements):</a:t>
          </a:r>
          <a:endParaRPr lang="fa-IR" b="1"/>
        </a:p>
        <a:p>
          <a:pPr rtl="1"/>
          <a:r>
            <a:rPr lang="fa-IR" b="1"/>
            <a:t>گره‌های اضافه شده:</a:t>
          </a:r>
          <a:r>
            <a:rPr lang="fa-IR"/>
            <a:t> </a:t>
          </a:r>
          <a:r>
            <a:rPr lang="fa-IR" b="1"/>
            <a:t>۱ گره</a:t>
          </a:r>
          <a:r>
            <a:rPr lang="fa-IR"/>
            <a:t> </a:t>
          </a:r>
          <a:endParaRPr lang="fa-IR"/>
        </a:p>
        <a:p>
          <a:pPr lvl="1" rtl="1"/>
          <a:r>
            <a:rPr lang="fa-IR"/>
            <a:t>یک عنصر </a:t>
          </a:r>
          <a:r>
            <a:rPr lang="fa-IR" b="1"/>
            <a:t>Business Event</a:t>
          </a:r>
          <a:r>
            <a:rPr lang="fa-IR"/>
            <a:t> (رویداد پایانی) در انتهای زنجیره فرآیند اضافه می‌شود تا نقش End Event — که در ArchiMate به‌صورت مستقیم وجود ندارد — را ایفا کند.</a:t>
          </a:r>
          <a:endParaRPr lang="fa-IR"/>
        </a:p>
        <a:p>
          <a:pPr rtl="1"/>
          <a:r>
            <a:rPr lang="fa-IR" b="1"/>
            <a:t>گره‌های حذف شده:</a:t>
          </a:r>
          <a:r>
            <a:rPr lang="fa-IR"/>
            <a:t> </a:t>
          </a:r>
          <a:r>
            <a:rPr lang="fa-IR" b="1"/>
            <a:t>۰ گره</a:t>
          </a:r>
          <a:endParaRPr lang="fa-IR"/>
        </a:p>
        <a:p>
          <a:endParaRPr lang="en-US" sz="1100"/>
        </a:p>
      </xdr:txBody>
    </xdr:sp>
    <xdr:clientData/>
  </xdr:twoCellAnchor>
  <xdr:twoCellAnchor>
    <xdr:from>
      <xdr:col>9</xdr:col>
      <xdr:colOff>45720</xdr:colOff>
      <xdr:row>28</xdr:row>
      <xdr:rowOff>160020</xdr:rowOff>
    </xdr:from>
    <xdr:to>
      <xdr:col>11</xdr:col>
      <xdr:colOff>175260</xdr:colOff>
      <xdr:row>40</xdr:row>
      <xdr:rowOff>68580</xdr:rowOff>
    </xdr:to>
    <xdr:sp>
      <xdr:nvSpPr>
        <xdr:cNvPr id="7" name="TextBox 6"/>
        <xdr:cNvSpPr txBox="1"/>
      </xdr:nvSpPr>
      <xdr:spPr>
        <a:xfrm>
          <a:off x="8801100" y="5280660"/>
          <a:ext cx="4747260" cy="210312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fa-I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Arial" panose="020B0604020202020204" pitchFamily="7" charset="0"/>
            </a:rPr>
            <a:t>بازآرایی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start Event Missing</a:t>
          </a:r>
          <a:endParaRPr kumimoji="0" lang="fa-IR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Arial" panose="020B0604020202020204" pitchFamily="7" charset="0"/>
          </a:endParaRPr>
        </a:p>
        <a:p>
          <a:pPr rtl="1"/>
          <a:r>
            <a:rPr lang="fa-IR" b="1"/>
            <a:t>نتیجه بازآرایی (Refactoring Result):</a:t>
          </a:r>
          <a:endParaRPr lang="fa-IR" b="1"/>
        </a:p>
        <a:p>
          <a:pPr rtl="1"/>
          <a:r>
            <a:rPr lang="fa-IR" b="1"/>
            <a:t>۱. گره‌ها (Nodes / Elements):</a:t>
          </a:r>
          <a:endParaRPr lang="fa-IR" b="1"/>
        </a:p>
        <a:p>
          <a:pPr rtl="1"/>
          <a:r>
            <a:rPr lang="fa-IR" b="1"/>
            <a:t>گره‌های اضافه شده:</a:t>
          </a:r>
          <a:r>
            <a:rPr lang="fa-IR"/>
            <a:t> </a:t>
          </a:r>
          <a:r>
            <a:rPr lang="fa-IR" b="1"/>
            <a:t>۱ گره</a:t>
          </a:r>
          <a:r>
            <a:rPr lang="fa-IR"/>
            <a:t> </a:t>
          </a:r>
          <a:endParaRPr lang="fa-IR"/>
        </a:p>
        <a:p>
          <a:pPr lvl="1" rtl="1"/>
          <a:r>
            <a:rPr lang="fa-IR"/>
            <a:t>یک عنصر </a:t>
          </a:r>
          <a:r>
            <a:rPr lang="fa-IR" b="1"/>
            <a:t>Business Event</a:t>
          </a:r>
          <a:r>
            <a:rPr lang="fa-IR"/>
            <a:t> (رویداد شروع فرآیند) قبل از اولین فرآیند زنجیره اضافه می‌شود.</a:t>
          </a:r>
          <a:endParaRPr lang="fa-IR"/>
        </a:p>
        <a:p>
          <a:pPr rtl="1"/>
          <a:r>
            <a:rPr lang="fa-IR" b="1"/>
            <a:t>گره‌های حذف شده:</a:t>
          </a:r>
          <a:r>
            <a:rPr lang="fa-IR"/>
            <a:t> </a:t>
          </a:r>
          <a:r>
            <a:rPr lang="fa-IR" b="1"/>
            <a:t>۰ گره</a:t>
          </a:r>
          <a:endParaRPr lang="fa-IR"/>
        </a:p>
        <a:p>
          <a:pPr rtl="1"/>
          <a:r>
            <a:rPr lang="fa-IR" b="1"/>
            <a:t>۲. روابط (Relationships):</a:t>
          </a:r>
          <a:endParaRPr lang="fa-IR" b="1"/>
        </a:p>
        <a:p>
          <a:pPr rtl="1"/>
          <a:r>
            <a:rPr lang="fa-IR" b="1"/>
            <a:t>روابط اضافه شده:</a:t>
          </a:r>
          <a:r>
            <a:rPr lang="fa-IR"/>
            <a:t> </a:t>
          </a:r>
          <a:r>
            <a:rPr lang="fa-IR" b="1"/>
            <a:t>۱ رابطه</a:t>
          </a:r>
          <a:r>
            <a:rPr lang="fa-IR"/>
            <a:t> </a:t>
          </a:r>
          <a:endParaRPr lang="fa-IR"/>
        </a:p>
        <a:p>
          <a:pPr lvl="1" rtl="1"/>
          <a:r>
            <a:rPr lang="fa-IR"/>
            <a:t>یک رابطه </a:t>
          </a:r>
          <a:r>
            <a:rPr lang="fa-IR" b="1"/>
            <a:t>Triggering</a:t>
          </a:r>
          <a:r>
            <a:rPr lang="fa-IR"/>
            <a:t> (یا </a:t>
          </a:r>
          <a:r>
            <a:rPr lang="fa-IR" b="1"/>
            <a:t>Flow</a:t>
          </a:r>
          <a:r>
            <a:rPr lang="fa-IR"/>
            <a:t>) از رویداد شروع به اولین گره فرآیند (startNode).</a:t>
          </a:r>
          <a:endParaRPr lang="fa-IR"/>
        </a:p>
        <a:p>
          <a:pPr rtl="1"/>
          <a:r>
            <a:rPr lang="fa-IR" b="1"/>
            <a:t>روابط حذف شده:</a:t>
          </a:r>
          <a:r>
            <a:rPr lang="fa-IR"/>
            <a:t> </a:t>
          </a:r>
          <a:r>
            <a:rPr lang="fa-IR" b="1"/>
            <a:t>۰ رابطه</a:t>
          </a:r>
          <a:endParaRPr lang="fa-IR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153305</xdr:colOff>
      <xdr:row>2</xdr:row>
      <xdr:rowOff>83820</xdr:rowOff>
    </xdr:from>
    <xdr:ext cx="2599366" cy="1764586"/>
    <xdr:sp>
      <xdr:nvSpPr>
        <xdr:cNvPr id="2" name="TextBox 1"/>
        <xdr:cNvSpPr txBox="1"/>
      </xdr:nvSpPr>
      <xdr:spPr>
        <a:xfrm>
          <a:off x="9586595" y="449580"/>
          <a:ext cx="2599055" cy="1764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rtl="1"/>
          <a:r>
            <a:rPr lang="fa-IR" b="1"/>
            <a:t>نتیجه آماری قبل و بعد مدل:</a:t>
          </a:r>
          <a:endParaRPr lang="fa-IR" b="1"/>
        </a:p>
        <a:p>
          <a:pPr rtl="1"/>
          <a:r>
            <a:rPr lang="fa-IR" b="1"/>
            <a:t>گره‌ها (Nodes):</a:t>
          </a:r>
          <a:endParaRPr lang="fa-IR"/>
        </a:p>
        <a:p>
          <a:pPr lvl="1" rtl="1"/>
          <a:r>
            <a:rPr lang="fa-IR"/>
            <a:t>قبل: </a:t>
          </a:r>
          <a:r>
            <a:rPr lang="fa-IR" b="1"/>
            <a:t>۱۵</a:t>
          </a:r>
          <a:endParaRPr lang="fa-IR"/>
        </a:p>
        <a:p>
          <a:pPr lvl="1" rtl="1"/>
          <a:r>
            <a:rPr lang="fa-IR"/>
            <a:t>تغییرات خالص: </a:t>
          </a:r>
          <a:r>
            <a:rPr lang="fa-IR" b="1"/>
            <a:t>۶+</a:t>
          </a:r>
          <a:r>
            <a:rPr lang="fa-IR"/>
            <a:t> (+9−3+9 - 3+9−3)</a:t>
          </a:r>
          <a:endParaRPr lang="fa-IR"/>
        </a:p>
        <a:p>
          <a:pPr lvl="1" rtl="1"/>
          <a:r>
            <a:rPr lang="fa-IR"/>
            <a:t>بعد: </a:t>
          </a:r>
          <a:r>
            <a:rPr lang="fa-IR" b="1"/>
            <a:t>۲۱</a:t>
          </a:r>
          <a:endParaRPr lang="fa-IR"/>
        </a:p>
        <a:p>
          <a:pPr rtl="1"/>
          <a:r>
            <a:rPr lang="fa-IR" b="1"/>
            <a:t>روابط (Relationships):</a:t>
          </a:r>
          <a:endParaRPr lang="fa-IR"/>
        </a:p>
        <a:p>
          <a:pPr lvl="1" rtl="1"/>
          <a:r>
            <a:rPr lang="fa-IR"/>
            <a:t>قبل: </a:t>
          </a:r>
          <a:r>
            <a:rPr lang="fa-IR" b="1"/>
            <a:t>۱۲</a:t>
          </a:r>
          <a:endParaRPr lang="fa-IR"/>
        </a:p>
        <a:p>
          <a:pPr lvl="1" rtl="1"/>
          <a:r>
            <a:rPr lang="fa-IR"/>
            <a:t>تغییرات خالص: </a:t>
          </a:r>
          <a:r>
            <a:rPr lang="fa-IR" b="1"/>
            <a:t>۶+</a:t>
          </a:r>
          <a:r>
            <a:rPr lang="fa-IR"/>
            <a:t> (+9−3+9 - 3+9−3)</a:t>
          </a:r>
          <a:endParaRPr lang="fa-IR"/>
        </a:p>
        <a:p>
          <a:pPr lvl="1" rtl="1"/>
          <a:r>
            <a:rPr lang="fa-IR"/>
            <a:t>بعد: </a:t>
          </a:r>
          <a:r>
            <a:rPr lang="fa-IR" b="1"/>
            <a:t>۱۸</a:t>
          </a:r>
          <a:endParaRPr lang="fa-IR"/>
        </a:p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930275</xdr:colOff>
      <xdr:row>10</xdr:row>
      <xdr:rowOff>91440</xdr:rowOff>
    </xdr:from>
    <xdr:ext cx="5040000" cy="2765700"/>
    <xdr:graphicFrame>
      <xdr:nvGraphicFramePr>
        <xdr:cNvPr id="2" name="Chart 1"/>
        <xdr:cNvGraphicFramePr/>
      </xdr:nvGraphicFramePr>
      <xdr:xfrm>
        <a:off x="6317615" y="1965960"/>
        <a:ext cx="503999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252095</xdr:colOff>
      <xdr:row>10</xdr:row>
      <xdr:rowOff>175260</xdr:rowOff>
    </xdr:from>
    <xdr:ext cx="5040000" cy="2765700"/>
    <xdr:graphicFrame>
      <xdr:nvGraphicFramePr>
        <xdr:cNvPr id="3" name="Chart 2"/>
        <xdr:cNvGraphicFramePr/>
      </xdr:nvGraphicFramePr>
      <xdr:xfrm>
        <a:off x="869315" y="2049780"/>
        <a:ext cx="503999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328295</xdr:colOff>
      <xdr:row>26</xdr:row>
      <xdr:rowOff>106680</xdr:rowOff>
    </xdr:from>
    <xdr:ext cx="5040000" cy="2765700"/>
    <xdr:graphicFrame>
      <xdr:nvGraphicFramePr>
        <xdr:cNvPr id="4" name="Chart 3"/>
        <xdr:cNvGraphicFramePr/>
      </xdr:nvGraphicFramePr>
      <xdr:xfrm>
        <a:off x="945515" y="4907280"/>
        <a:ext cx="503999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4320000" cy="2765700"/>
    <xdr:graphicFrame>
      <xdr:nvGraphicFramePr>
        <xdr:cNvPr id="2" name="Chart 1"/>
        <xdr:cNvGraphicFramePr/>
      </xdr:nvGraphicFramePr>
      <xdr:xfrm>
        <a:off x="0" y="1280160"/>
        <a:ext cx="43199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167640</xdr:colOff>
      <xdr:row>7</xdr:row>
      <xdr:rowOff>7620</xdr:rowOff>
    </xdr:from>
    <xdr:ext cx="4320000" cy="2765700"/>
    <xdr:graphicFrame>
      <xdr:nvGraphicFramePr>
        <xdr:cNvPr id="3" name="Chart 2"/>
        <xdr:cNvGraphicFramePr/>
      </xdr:nvGraphicFramePr>
      <xdr:xfrm>
        <a:off x="4320540" y="1287780"/>
        <a:ext cx="43199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167640</xdr:colOff>
      <xdr:row>7</xdr:row>
      <xdr:rowOff>10160</xdr:rowOff>
    </xdr:from>
    <xdr:ext cx="4319905" cy="2765425"/>
    <xdr:graphicFrame>
      <xdr:nvGraphicFramePr>
        <xdr:cNvPr id="4" name="Chart 3"/>
        <xdr:cNvGraphicFramePr/>
      </xdr:nvGraphicFramePr>
      <xdr:xfrm>
        <a:off x="8641080" y="1290320"/>
        <a:ext cx="4319905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13"/>
  <sheetViews>
    <sheetView workbookViewId="0">
      <selection activeCell="Q6" sqref="Q6"/>
    </sheetView>
  </sheetViews>
  <sheetFormatPr defaultColWidth="9" defaultRowHeight="14.4"/>
  <cols>
    <col min="2" max="2" width="16.4444444444444" customWidth="1"/>
    <col min="3" max="3" width="13.1111111111111" customWidth="1"/>
    <col min="4" max="4" width="10" customWidth="1"/>
    <col min="5" max="5" width="10.8888888888889" customWidth="1"/>
    <col min="6" max="6" width="13.2222222222222" customWidth="1"/>
    <col min="7" max="7" width="11.4444444444444" customWidth="1"/>
    <col min="8" max="8" width="12.7777777777778" customWidth="1"/>
    <col min="11" max="11" width="23.5555555555556" customWidth="1"/>
    <col min="12" max="12" width="9.66666666666667" customWidth="1"/>
    <col min="13" max="13" width="10.4444444444444" customWidth="1"/>
    <col min="14" max="14" width="23.5555555555556" customWidth="1"/>
    <col min="15" max="15" width="9.66666666666667" customWidth="1"/>
    <col min="16" max="16" width="10.4444444444444" customWidth="1"/>
    <col min="17" max="17" width="9.55555555555556" customWidth="1"/>
  </cols>
  <sheetData>
    <row r="2" spans="2:17">
      <c r="E2" s="19" t="s">
        <v>0</v>
      </c>
      <c r="F2" s="19"/>
      <c r="G2" s="19"/>
      <c r="H2" s="19"/>
      <c r="K2" s="12" t="s">
        <v>1</v>
      </c>
      <c r="L2" s="12"/>
      <c r="M2" s="12"/>
      <c r="N2" s="12"/>
    </row>
    <row r="3" spans="2:17">
      <c r="B3" s="6" t="s">
        <v>2</v>
      </c>
      <c r="C3" s="6"/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K3" s="6" t="s">
        <v>8</v>
      </c>
      <c r="L3" s="6" t="s">
        <v>9</v>
      </c>
      <c r="M3" s="6" t="s">
        <v>10</v>
      </c>
      <c r="N3" s="6" t="s">
        <v>11</v>
      </c>
    </row>
    <row r="4" spans="2:17">
      <c r="B4" t="s">
        <v>12</v>
      </c>
      <c r="C4" t="s">
        <v>13</v>
      </c>
      <c r="D4" s="6">
        <v>2</v>
      </c>
      <c r="E4" s="6">
        <v>2</v>
      </c>
      <c r="F4" s="6">
        <v>0</v>
      </c>
      <c r="G4" s="6">
        <v>2</v>
      </c>
      <c r="H4" s="6">
        <v>0</v>
      </c>
      <c r="K4" s="6" t="s">
        <v>14</v>
      </c>
      <c r="L4" s="20">
        <v>10</v>
      </c>
      <c r="M4" s="6" t="s">
        <v>15</v>
      </c>
      <c r="N4" s="20">
        <v>14</v>
      </c>
    </row>
    <row r="5" spans="2:17">
      <c r="B5" t="s">
        <v>16</v>
      </c>
      <c r="C5" t="s">
        <v>13</v>
      </c>
      <c r="D5" s="6">
        <v>2</v>
      </c>
      <c r="E5" s="6">
        <v>2</v>
      </c>
      <c r="F5" s="6">
        <v>0</v>
      </c>
      <c r="G5" s="6">
        <v>2</v>
      </c>
      <c r="H5" s="6">
        <v>0</v>
      </c>
      <c r="K5" s="6" t="s">
        <v>17</v>
      </c>
      <c r="L5" s="20">
        <v>8</v>
      </c>
      <c r="M5" s="6" t="s">
        <v>15</v>
      </c>
      <c r="N5" s="20">
        <v>12</v>
      </c>
    </row>
    <row r="6" spans="2:17">
      <c r="D6" s="6">
        <f t="shared" ref="D6:H6" si="0" xml:space="preserve">SUM(D4:D5)</f>
        <v>4</v>
      </c>
      <c r="E6" s="6">
        <f t="shared" si="0"/>
        <v>4</v>
      </c>
      <c r="F6" s="6">
        <f t="shared" si="0"/>
        <v>0</v>
      </c>
      <c r="G6" s="6">
        <f t="shared" si="0"/>
        <v>4</v>
      </c>
      <c r="H6" s="6">
        <f t="shared" si="0"/>
        <v>0</v>
      </c>
      <c r="N6" s="25"/>
      <c r="O6" s="25"/>
      <c r="P6" s="25"/>
      <c r="Q6" s="25"/>
    </row>
    <row r="10" spans="2:17"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</row>
    <row r="11" spans="2:17">
      <c r="B11" s="6" t="s">
        <v>16</v>
      </c>
      <c r="C11" s="20">
        <v>2</v>
      </c>
      <c r="D11" s="6" t="s">
        <v>24</v>
      </c>
      <c r="E11" s="20">
        <v>0</v>
      </c>
      <c r="F11" s="6" t="s">
        <v>24</v>
      </c>
      <c r="G11" s="20">
        <v>0</v>
      </c>
    </row>
    <row r="12" spans="2:17">
      <c r="B12" s="6" t="s">
        <v>12</v>
      </c>
      <c r="C12" s="20">
        <v>2</v>
      </c>
      <c r="D12" s="6" t="s">
        <v>24</v>
      </c>
      <c r="E12" s="20">
        <v>0</v>
      </c>
      <c r="F12" s="6" t="s">
        <v>24</v>
      </c>
      <c r="G12" s="20">
        <v>0</v>
      </c>
    </row>
    <row r="13" spans="2:17">
      <c r="B13" s="6" t="s">
        <v>25</v>
      </c>
      <c r="C13" s="20">
        <v>4</v>
      </c>
      <c r="D13" s="6" t="s">
        <v>15</v>
      </c>
      <c r="E13" s="20">
        <v>0</v>
      </c>
      <c r="F13" s="6" t="s">
        <v>15</v>
      </c>
      <c r="G13" s="20">
        <v>0</v>
      </c>
    </row>
  </sheetData>
  <mergeCells count="2">
    <mergeCell ref="E2:H2"/>
    <mergeCell ref="K2:N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9"/>
  <sheetViews>
    <sheetView zoomScale="90" zoomScaleNormal="90" topLeftCell="A4" workbookViewId="0">
      <selection activeCell="Q6" sqref="Q6"/>
    </sheetView>
  </sheetViews>
  <sheetFormatPr defaultColWidth="9" defaultRowHeight="14.4"/>
  <cols>
    <col min="2" max="2" width="31.3333333333333" customWidth="1"/>
    <col min="3" max="3" width="10.1111111111111" style="6" customWidth="1"/>
    <col min="4" max="4" width="10" style="6" customWidth="1"/>
    <col min="5" max="5" width="10.8888888888889" customWidth="1"/>
    <col min="6" max="6" width="13.2222222222222" customWidth="1"/>
    <col min="7" max="7" width="11.4444444444444" customWidth="1"/>
    <col min="8" max="8" width="12.7777777777778" customWidth="1"/>
    <col min="11" max="11" width="23.5555555555556" customWidth="1"/>
    <col min="12" max="12" width="9.66666666666667" customWidth="1"/>
    <col min="13" max="13" width="10.4444444444444" customWidth="1"/>
    <col min="14" max="14" width="9.55555555555556" customWidth="1"/>
  </cols>
  <sheetData>
    <row r="2" spans="2:14">
      <c r="E2" s="22" t="s">
        <v>0</v>
      </c>
      <c r="F2" s="22"/>
      <c r="G2" s="22"/>
      <c r="H2" s="22"/>
      <c r="K2" s="8" t="s">
        <v>26</v>
      </c>
      <c r="L2" s="8"/>
      <c r="M2" s="8"/>
      <c r="N2" s="8"/>
    </row>
    <row r="3" spans="2:14">
      <c r="B3" s="6" t="s">
        <v>2</v>
      </c>
      <c r="D3" s="6" t="s">
        <v>3</v>
      </c>
      <c r="E3" t="s">
        <v>4</v>
      </c>
      <c r="F3" t="s">
        <v>5</v>
      </c>
      <c r="G3" t="s">
        <v>6</v>
      </c>
      <c r="H3" t="s">
        <v>7</v>
      </c>
      <c r="K3" s="6" t="s">
        <v>8</v>
      </c>
      <c r="L3" s="6" t="s">
        <v>9</v>
      </c>
      <c r="M3" s="6" t="s">
        <v>10</v>
      </c>
      <c r="N3" s="6" t="s">
        <v>11</v>
      </c>
    </row>
    <row r="4" spans="2:14">
      <c r="B4" s="6" t="s">
        <v>27</v>
      </c>
      <c r="C4" s="6" t="s">
        <v>13</v>
      </c>
      <c r="D4" s="6">
        <v>1</v>
      </c>
      <c r="E4" s="6">
        <v>1</v>
      </c>
      <c r="F4" s="6">
        <v>0</v>
      </c>
      <c r="G4" s="6">
        <v>1</v>
      </c>
      <c r="H4" s="6">
        <v>0</v>
      </c>
      <c r="K4" s="6" t="s">
        <v>14</v>
      </c>
      <c r="L4" s="20">
        <v>8</v>
      </c>
      <c r="M4" s="6" t="s">
        <v>28</v>
      </c>
      <c r="N4" s="20">
        <v>13</v>
      </c>
    </row>
    <row r="5" spans="2:14">
      <c r="B5" s="6" t="s">
        <v>12</v>
      </c>
      <c r="C5" s="6" t="s">
        <v>13</v>
      </c>
      <c r="D5" s="6">
        <v>2</v>
      </c>
      <c r="E5" s="6">
        <v>2</v>
      </c>
      <c r="F5" s="6">
        <v>0</v>
      </c>
      <c r="G5" s="6">
        <v>2</v>
      </c>
      <c r="H5" s="6">
        <v>0</v>
      </c>
      <c r="K5" s="6" t="s">
        <v>17</v>
      </c>
      <c r="L5" s="20">
        <v>6</v>
      </c>
      <c r="M5" s="6" t="s">
        <v>28</v>
      </c>
      <c r="N5" s="20">
        <v>11</v>
      </c>
    </row>
    <row r="6" spans="2:14">
      <c r="B6" s="6" t="s">
        <v>16</v>
      </c>
      <c r="C6" s="6" t="s">
        <v>13</v>
      </c>
      <c r="D6" s="6">
        <v>2</v>
      </c>
      <c r="E6" s="6">
        <v>2</v>
      </c>
      <c r="F6" s="6">
        <v>0</v>
      </c>
      <c r="G6" s="6">
        <v>2</v>
      </c>
      <c r="H6" s="6">
        <v>0</v>
      </c>
    </row>
    <row r="7" spans="2:14">
      <c r="D7" s="6">
        <f xml:space="preserve">SUM(D4:D6)</f>
        <v>5</v>
      </c>
      <c r="E7" s="6">
        <f t="shared" ref="E7:H7" si="0" xml:space="preserve">SUM(E4:E6)</f>
        <v>5</v>
      </c>
      <c r="F7" s="6">
        <f t="shared" si="0"/>
        <v>0</v>
      </c>
      <c r="G7" s="6">
        <f t="shared" si="0"/>
        <v>5</v>
      </c>
      <c r="H7" s="6">
        <f t="shared" si="0"/>
        <v>0</v>
      </c>
    </row>
    <row r="11" spans="2:14"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  <c r="G11" s="6" t="s">
        <v>23</v>
      </c>
    </row>
    <row r="12" spans="2:14">
      <c r="B12" s="6" t="s">
        <v>16</v>
      </c>
      <c r="C12" s="20">
        <v>2</v>
      </c>
      <c r="D12" s="6" t="s">
        <v>24</v>
      </c>
      <c r="E12" s="20">
        <v>0</v>
      </c>
      <c r="F12" s="6" t="s">
        <v>24</v>
      </c>
      <c r="G12" s="20">
        <v>0</v>
      </c>
    </row>
    <row r="13" spans="2:14">
      <c r="B13" s="6" t="s">
        <v>12</v>
      </c>
      <c r="C13" s="20">
        <v>2</v>
      </c>
      <c r="D13" s="6" t="s">
        <v>24</v>
      </c>
      <c r="E13" s="20">
        <v>0</v>
      </c>
      <c r="F13" s="6" t="s">
        <v>24</v>
      </c>
      <c r="G13" s="20">
        <v>0</v>
      </c>
    </row>
    <row r="14" spans="2:14">
      <c r="B14" s="6" t="s">
        <v>27</v>
      </c>
      <c r="C14" s="20">
        <v>1</v>
      </c>
      <c r="D14" s="6" t="s">
        <v>29</v>
      </c>
      <c r="E14" s="20">
        <v>0</v>
      </c>
      <c r="F14" s="6" t="s">
        <v>29</v>
      </c>
      <c r="G14" s="20">
        <v>0</v>
      </c>
    </row>
    <row r="15" spans="2:14">
      <c r="B15" s="6" t="s">
        <v>25</v>
      </c>
      <c r="C15" s="20">
        <v>5</v>
      </c>
      <c r="D15" s="6" t="s">
        <v>28</v>
      </c>
      <c r="E15" s="20">
        <v>0</v>
      </c>
      <c r="F15" s="6" t="s">
        <v>28</v>
      </c>
      <c r="G15" s="20">
        <v>0</v>
      </c>
    </row>
    <row r="20" spans="2:4">
      <c r="B20" t="s">
        <v>30</v>
      </c>
      <c r="C20" s="6">
        <v>8</v>
      </c>
    </row>
    <row r="21" spans="2:4">
      <c r="B21" t="s">
        <v>31</v>
      </c>
      <c r="C21" s="6">
        <v>5</v>
      </c>
    </row>
    <row r="22" spans="2:4">
      <c r="B22" t="s">
        <v>32</v>
      </c>
      <c r="C22" s="6">
        <v>5</v>
      </c>
    </row>
    <row r="23" spans="2:4">
      <c r="B23" t="s">
        <v>33</v>
      </c>
      <c r="C23" s="6">
        <v>11</v>
      </c>
    </row>
    <row r="24" spans="2:4">
      <c r="B24" t="s">
        <v>34</v>
      </c>
      <c r="C24" s="6">
        <v>8</v>
      </c>
    </row>
    <row r="26" spans="2:4">
      <c r="B26" t="s">
        <v>35</v>
      </c>
      <c r="C26" s="23">
        <v>0.625</v>
      </c>
      <c r="D26" s="24"/>
    </row>
    <row r="27" spans="2:4">
      <c r="B27" t="s">
        <v>36</v>
      </c>
      <c r="C27" s="23">
        <v>0.727</v>
      </c>
    </row>
    <row r="28" spans="2:4">
      <c r="B28" t="s">
        <v>37</v>
      </c>
      <c r="C28" s="23">
        <v>0.625</v>
      </c>
    </row>
    <row r="29" spans="2:4">
      <c r="B29" t="s">
        <v>38</v>
      </c>
      <c r="C29" s="24">
        <v>1</v>
      </c>
    </row>
    <row r="39" spans="3:4">
      <c r="C39"/>
      <c r="D39"/>
    </row>
  </sheetData>
  <mergeCells count="2">
    <mergeCell ref="E2:H2"/>
    <mergeCell ref="K2:N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5"/>
  <sheetViews>
    <sheetView workbookViewId="0">
      <selection activeCell="Q6" sqref="Q6"/>
    </sheetView>
  </sheetViews>
  <sheetFormatPr defaultColWidth="9" defaultRowHeight="14.4" outlineLevelCol="7"/>
  <cols>
    <col min="2" max="2" width="21.2222222222222" customWidth="1"/>
    <col min="4" max="4" width="24.8888888888889" customWidth="1"/>
    <col min="5" max="5" width="12.5555555555556" customWidth="1"/>
    <col min="6" max="6" width="13.2222222222222" customWidth="1"/>
    <col min="7" max="7" width="14.8888888888889" customWidth="1"/>
    <col min="8" max="8" width="14.3333333333333" customWidth="1"/>
    <col min="9" max="9" width="8.55555555555556" customWidth="1"/>
    <col min="10" max="10" width="20.3333333333333" customWidth="1"/>
    <col min="11" max="11" width="47" customWidth="1"/>
    <col min="12" max="12" width="17.7777777777778" customWidth="1"/>
  </cols>
  <sheetData>
    <row r="2" spans="2:8">
      <c r="E2" s="19" t="s">
        <v>0</v>
      </c>
      <c r="F2" s="19"/>
      <c r="G2" s="19"/>
      <c r="H2" s="19"/>
    </row>
    <row r="3" s="6" customFormat="1" spans="2:8">
      <c r="B3" s="6" t="s">
        <v>2</v>
      </c>
      <c r="D3" s="6" t="s">
        <v>39</v>
      </c>
      <c r="E3" s="6" t="s">
        <v>4</v>
      </c>
      <c r="F3" s="6" t="s">
        <v>5</v>
      </c>
      <c r="G3" s="6" t="s">
        <v>6</v>
      </c>
      <c r="H3" s="6" t="s">
        <v>7</v>
      </c>
    </row>
    <row r="4" spans="2:8">
      <c r="B4" t="s">
        <v>27</v>
      </c>
      <c r="C4" t="s">
        <v>13</v>
      </c>
      <c r="D4" s="6">
        <v>2</v>
      </c>
      <c r="E4" s="8">
        <v>2</v>
      </c>
      <c r="F4" s="8">
        <v>0</v>
      </c>
      <c r="G4" s="8">
        <v>2</v>
      </c>
      <c r="H4" s="8">
        <v>0</v>
      </c>
    </row>
    <row r="5" spans="2:8">
      <c r="B5" t="s">
        <v>12</v>
      </c>
      <c r="C5" t="s">
        <v>13</v>
      </c>
      <c r="D5" s="6">
        <v>1</v>
      </c>
      <c r="E5" s="8">
        <v>1</v>
      </c>
      <c r="F5" s="8">
        <v>0</v>
      </c>
      <c r="G5" s="8">
        <v>1</v>
      </c>
      <c r="H5" s="8">
        <v>0</v>
      </c>
    </row>
    <row r="6" spans="2:8">
      <c r="B6" t="s">
        <v>16</v>
      </c>
      <c r="C6" t="s">
        <v>13</v>
      </c>
      <c r="D6" s="6">
        <v>1</v>
      </c>
      <c r="E6" s="8">
        <v>1</v>
      </c>
      <c r="F6" s="8">
        <v>0</v>
      </c>
      <c r="G6" s="8">
        <v>1</v>
      </c>
      <c r="H6" s="8">
        <v>0</v>
      </c>
    </row>
    <row r="7" spans="2:8">
      <c r="E7" s="6">
        <f xml:space="preserve">SUM(E4:E6)</f>
        <v>4</v>
      </c>
      <c r="F7" s="6">
        <f t="shared" ref="F7:H7" si="0" xml:space="preserve">SUM(F4:F6)</f>
        <v>0</v>
      </c>
      <c r="G7" s="6">
        <f t="shared" si="0"/>
        <v>4</v>
      </c>
      <c r="H7" s="6">
        <f t="shared" si="0"/>
        <v>0</v>
      </c>
    </row>
    <row r="12" spans="2:8">
      <c r="B12" s="8" t="s">
        <v>27</v>
      </c>
      <c r="C12" s="8"/>
      <c r="D12" s="8"/>
      <c r="E12" s="8"/>
      <c r="F12" s="8"/>
    </row>
    <row r="13" spans="2:8">
      <c r="B13" s="6" t="s">
        <v>40</v>
      </c>
      <c r="C13" s="6" t="s">
        <v>41</v>
      </c>
      <c r="D13" s="6" t="s">
        <v>42</v>
      </c>
      <c r="E13" s="6" t="s">
        <v>43</v>
      </c>
      <c r="F13" s="6" t="s">
        <v>44</v>
      </c>
    </row>
    <row r="14" spans="2:8">
      <c r="B14" t="s">
        <v>45</v>
      </c>
      <c r="C14" t="s">
        <v>46</v>
      </c>
      <c r="D14" t="s">
        <v>47</v>
      </c>
      <c r="E14" t="s">
        <v>48</v>
      </c>
      <c r="F14" t="s">
        <v>49</v>
      </c>
    </row>
    <row r="15" spans="2:8">
      <c r="B15" t="s">
        <v>50</v>
      </c>
      <c r="C15" t="s">
        <v>46</v>
      </c>
      <c r="D15" t="s">
        <v>51</v>
      </c>
      <c r="E15" t="s">
        <v>48</v>
      </c>
      <c r="F15" t="s">
        <v>49</v>
      </c>
    </row>
  </sheetData>
  <mergeCells count="2">
    <mergeCell ref="E2:H2"/>
    <mergeCell ref="B12:F1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6"/>
  <sheetViews>
    <sheetView workbookViewId="0">
      <selection activeCell="Q6" sqref="Q6"/>
    </sheetView>
  </sheetViews>
  <sheetFormatPr defaultColWidth="9" defaultRowHeight="14.4"/>
  <cols>
    <col min="2" max="2" width="16.4444444444444" customWidth="1"/>
    <col min="3" max="3" width="8.44444444444444" customWidth="1"/>
    <col min="4" max="4" width="14.8888888888889" customWidth="1"/>
    <col min="5" max="5" width="17.2222222222222" customWidth="1"/>
    <col min="6" max="6" width="13.2222222222222" customWidth="1"/>
    <col min="7" max="7" width="18.5555555555556" customWidth="1"/>
    <col min="8" max="8" width="12.7777777777778" customWidth="1"/>
  </cols>
  <sheetData>
    <row r="3" spans="2:9">
      <c r="E3" s="19" t="s">
        <v>0</v>
      </c>
      <c r="F3" s="19"/>
      <c r="G3" s="19"/>
      <c r="H3" s="19"/>
    </row>
    <row r="4" spans="2:9">
      <c r="B4" s="6" t="s">
        <v>2</v>
      </c>
      <c r="C4" s="6"/>
      <c r="D4" s="6" t="s">
        <v>39</v>
      </c>
      <c r="E4" s="6" t="s">
        <v>4</v>
      </c>
      <c r="F4" s="6" t="s">
        <v>5</v>
      </c>
      <c r="G4" s="6" t="s">
        <v>6</v>
      </c>
      <c r="H4" s="6" t="s">
        <v>7</v>
      </c>
    </row>
    <row r="5" spans="2:9">
      <c r="B5" t="s">
        <v>27</v>
      </c>
      <c r="C5" t="s">
        <v>13</v>
      </c>
      <c r="D5" s="6">
        <v>3</v>
      </c>
      <c r="E5" s="6">
        <v>3</v>
      </c>
      <c r="F5" s="6">
        <v>0</v>
      </c>
      <c r="G5" s="6">
        <v>3</v>
      </c>
      <c r="H5" s="6">
        <v>0</v>
      </c>
    </row>
    <row r="6" spans="2:9">
      <c r="B6" t="s">
        <v>12</v>
      </c>
      <c r="C6" t="s">
        <v>13</v>
      </c>
      <c r="D6" s="6">
        <v>3</v>
      </c>
      <c r="E6" s="6">
        <v>3</v>
      </c>
      <c r="F6" s="6">
        <v>0</v>
      </c>
      <c r="G6" s="6">
        <v>3</v>
      </c>
      <c r="H6" s="6">
        <v>0</v>
      </c>
    </row>
    <row r="7" spans="2:9">
      <c r="B7" t="s">
        <v>16</v>
      </c>
      <c r="C7" t="s">
        <v>13</v>
      </c>
      <c r="D7" s="6">
        <v>3</v>
      </c>
      <c r="E7" s="6">
        <v>3</v>
      </c>
      <c r="F7" s="6">
        <v>0</v>
      </c>
      <c r="G7" s="6">
        <v>3</v>
      </c>
      <c r="H7" s="6">
        <v>0</v>
      </c>
    </row>
    <row r="8" spans="2:9">
      <c r="E8" s="6">
        <f xml:space="preserve">SUM(E5:E7)</f>
        <v>9</v>
      </c>
      <c r="F8" s="6">
        <f xml:space="preserve">SUM(F5:F7)</f>
        <v>0</v>
      </c>
      <c r="G8" s="6">
        <f xml:space="preserve">SUM(G5:G7)</f>
        <v>9</v>
      </c>
      <c r="H8" s="6">
        <f xml:space="preserve">SUM(H5:H7)</f>
        <v>0</v>
      </c>
      <c r="I8" s="6"/>
    </row>
    <row r="12" spans="2:9">
      <c r="B12" s="6" t="s">
        <v>52</v>
      </c>
      <c r="D12" s="6" t="s">
        <v>19</v>
      </c>
      <c r="E12" s="6" t="s">
        <v>20</v>
      </c>
      <c r="F12" s="6" t="s">
        <v>21</v>
      </c>
      <c r="G12" s="6" t="s">
        <v>22</v>
      </c>
      <c r="H12" s="6" t="s">
        <v>23</v>
      </c>
    </row>
    <row r="13" spans="2:9">
      <c r="B13" s="6" t="s">
        <v>16</v>
      </c>
      <c r="D13" s="20">
        <v>3</v>
      </c>
      <c r="E13" s="6" t="s">
        <v>53</v>
      </c>
      <c r="F13" s="20">
        <v>0</v>
      </c>
      <c r="G13" s="6" t="s">
        <v>53</v>
      </c>
      <c r="H13" s="20">
        <v>0</v>
      </c>
    </row>
    <row r="14" spans="2:9">
      <c r="B14" s="6" t="s">
        <v>12</v>
      </c>
      <c r="D14" s="20">
        <v>3</v>
      </c>
      <c r="E14" s="6" t="s">
        <v>53</v>
      </c>
      <c r="F14" s="20">
        <v>0</v>
      </c>
      <c r="G14" s="6" t="s">
        <v>53</v>
      </c>
      <c r="H14" s="20">
        <v>0</v>
      </c>
    </row>
    <row r="15" spans="2:9">
      <c r="B15" s="6" t="s">
        <v>27</v>
      </c>
      <c r="D15" s="20">
        <v>3</v>
      </c>
      <c r="E15" s="6" t="s">
        <v>53</v>
      </c>
      <c r="F15" s="20">
        <v>0</v>
      </c>
      <c r="G15" s="6" t="s">
        <v>53</v>
      </c>
      <c r="H15" s="20">
        <v>0</v>
      </c>
    </row>
    <row r="16" spans="2:9">
      <c r="B16" s="6" t="s">
        <v>54</v>
      </c>
      <c r="D16" s="20">
        <v>3</v>
      </c>
      <c r="E16" s="20">
        <v>0</v>
      </c>
      <c r="F16" s="6" t="s">
        <v>55</v>
      </c>
      <c r="G16" s="20">
        <v>0</v>
      </c>
      <c r="H16" s="6" t="s">
        <v>55</v>
      </c>
    </row>
    <row r="17" spans="2:8">
      <c r="B17" s="6" t="s">
        <v>25</v>
      </c>
      <c r="D17" s="6" t="s">
        <v>56</v>
      </c>
      <c r="E17" s="6" t="s">
        <v>57</v>
      </c>
      <c r="F17" s="6" t="s">
        <v>55</v>
      </c>
      <c r="G17" s="6" t="s">
        <v>57</v>
      </c>
      <c r="H17" s="6" t="s">
        <v>55</v>
      </c>
    </row>
    <row r="22" spans="2:8">
      <c r="C22" s="21"/>
      <c r="E22" s="21"/>
      <c r="G22" s="21"/>
    </row>
    <row r="23" spans="2:8">
      <c r="C23" s="21"/>
      <c r="E23" s="21"/>
      <c r="G23" s="21"/>
    </row>
    <row r="24" spans="2:8">
      <c r="C24" s="21"/>
      <c r="E24" s="21"/>
      <c r="G24" s="21"/>
    </row>
    <row r="25" spans="2:8">
      <c r="C25" s="21"/>
      <c r="D25" s="21"/>
      <c r="F25" s="21"/>
    </row>
    <row r="26" spans="2:8">
      <c r="C26" s="21"/>
    </row>
  </sheetData>
  <mergeCells count="1">
    <mergeCell ref="E3:H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2"/>
  <sheetViews>
    <sheetView workbookViewId="0">
      <selection activeCell="Q6" sqref="Q6"/>
    </sheetView>
  </sheetViews>
  <sheetFormatPr defaultColWidth="9" defaultRowHeight="14.4" outlineLevelCol="3"/>
  <cols>
    <col min="2" max="2" width="21.5555555555556" customWidth="1"/>
    <col min="4" max="4" width="8.77777777777778" style="8" customWidth="1"/>
  </cols>
  <sheetData>
    <row r="2" spans="2:4">
      <c r="B2" s="6" t="s">
        <v>2</v>
      </c>
      <c r="C2" s="6"/>
      <c r="D2" s="6" t="s">
        <v>3</v>
      </c>
    </row>
    <row r="3" spans="2:4">
      <c r="B3" t="s">
        <v>58</v>
      </c>
      <c r="C3" t="s">
        <v>13</v>
      </c>
      <c r="D3" s="8">
        <v>2</v>
      </c>
    </row>
    <row r="4" spans="2:4">
      <c r="B4" t="s">
        <v>59</v>
      </c>
      <c r="C4" t="s">
        <v>13</v>
      </c>
      <c r="D4" s="8">
        <v>1</v>
      </c>
    </row>
    <row r="5" spans="2:4">
      <c r="B5" t="s">
        <v>54</v>
      </c>
      <c r="C5" t="s">
        <v>13</v>
      </c>
      <c r="D5" s="8">
        <v>33</v>
      </c>
    </row>
    <row r="6" spans="2:4">
      <c r="B6" t="s">
        <v>27</v>
      </c>
      <c r="C6" t="s">
        <v>13</v>
      </c>
      <c r="D6" s="8">
        <v>7</v>
      </c>
    </row>
    <row r="7" spans="2:4">
      <c r="B7" t="s">
        <v>60</v>
      </c>
      <c r="C7" t="s">
        <v>13</v>
      </c>
      <c r="D7" s="8">
        <v>34</v>
      </c>
    </row>
    <row r="8" spans="2:4">
      <c r="B8" t="s">
        <v>61</v>
      </c>
      <c r="C8" t="s">
        <v>13</v>
      </c>
      <c r="D8" s="8">
        <v>1</v>
      </c>
    </row>
    <row r="9" spans="2:4">
      <c r="B9" t="s">
        <v>62</v>
      </c>
      <c r="C9" t="s">
        <v>13</v>
      </c>
      <c r="D9" s="8">
        <v>1</v>
      </c>
    </row>
    <row r="10" spans="2:4">
      <c r="B10" t="s">
        <v>63</v>
      </c>
      <c r="C10" t="s">
        <v>13</v>
      </c>
      <c r="D10" s="8">
        <v>10</v>
      </c>
    </row>
    <row r="11" spans="2:4">
      <c r="B11" t="s">
        <v>64</v>
      </c>
      <c r="C11" t="s">
        <v>13</v>
      </c>
      <c r="D11" s="8">
        <v>2</v>
      </c>
    </row>
    <row r="12" spans="2:4">
      <c r="B12" t="s">
        <v>65</v>
      </c>
      <c r="C12" t="s">
        <v>13</v>
      </c>
      <c r="D12" s="8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12"/>
  <sheetViews>
    <sheetView workbookViewId="0">
      <selection activeCell="D28" sqref="D28"/>
    </sheetView>
  </sheetViews>
  <sheetFormatPr defaultColWidth="9" defaultRowHeight="14.4"/>
  <cols>
    <col min="1" max="1" width="14.5555555555556" customWidth="1"/>
    <col min="2" max="2" width="9.22222222222222" customWidth="1"/>
    <col min="3" max="3" width="18.3333333333333" customWidth="1"/>
    <col min="4" max="4" width="16.7777777777778" style="6" customWidth="1"/>
    <col min="7" max="7" width="22.7777777777778" customWidth="1"/>
    <col min="8" max="8" width="7.11111111111111" style="6" customWidth="1"/>
    <col min="11" max="11" width="21.2222222222222" customWidth="1"/>
    <col min="15" max="15" width="20" customWidth="1"/>
    <col min="19" max="19" width="24.6666666666667" customWidth="1"/>
    <col min="23" max="23" width="17.3333333333333" customWidth="1"/>
  </cols>
  <sheetData>
    <row r="2" spans="1:23">
      <c r="G2" t="s">
        <v>66</v>
      </c>
    </row>
    <row r="3" spans="1:23">
      <c r="B3" s="12" t="s">
        <v>67</v>
      </c>
      <c r="C3" s="12"/>
      <c r="D3" s="12"/>
      <c r="F3" s="13" t="s">
        <v>68</v>
      </c>
      <c r="G3" s="13"/>
      <c r="H3" s="13"/>
      <c r="J3" s="14" t="s">
        <v>69</v>
      </c>
      <c r="K3" s="14"/>
      <c r="L3" s="14"/>
      <c r="N3" s="15" t="s">
        <v>70</v>
      </c>
      <c r="O3" s="15"/>
      <c r="P3" s="15"/>
      <c r="S3" s="16" t="s">
        <v>71</v>
      </c>
      <c r="T3" s="16"/>
      <c r="U3" s="16"/>
      <c r="V3" s="16"/>
      <c r="W3" s="16"/>
    </row>
    <row r="4" spans="1:23">
      <c r="B4" t="s">
        <v>72</v>
      </c>
      <c r="C4" t="s">
        <v>73</v>
      </c>
      <c r="D4" s="6" t="s">
        <v>74</v>
      </c>
      <c r="F4" t="s">
        <v>72</v>
      </c>
      <c r="G4" t="s">
        <v>73</v>
      </c>
      <c r="H4" s="6" t="s">
        <v>74</v>
      </c>
      <c r="J4" t="s">
        <v>72</v>
      </c>
      <c r="K4" t="s">
        <v>73</v>
      </c>
      <c r="L4" t="s">
        <v>74</v>
      </c>
      <c r="N4" t="s">
        <v>72</v>
      </c>
      <c r="O4" t="s">
        <v>73</v>
      </c>
      <c r="P4" t="s">
        <v>74</v>
      </c>
      <c r="S4" t="s">
        <v>75</v>
      </c>
      <c r="T4" t="s">
        <v>76</v>
      </c>
      <c r="U4" t="s">
        <v>77</v>
      </c>
      <c r="V4" t="s">
        <v>78</v>
      </c>
      <c r="W4" t="s">
        <v>79</v>
      </c>
    </row>
    <row r="5" spans="1:23">
      <c r="B5" t="s">
        <v>76</v>
      </c>
      <c r="C5" t="s">
        <v>80</v>
      </c>
      <c r="D5" s="6">
        <v>1</v>
      </c>
      <c r="F5" t="s">
        <v>76</v>
      </c>
      <c r="G5" t="s">
        <v>81</v>
      </c>
      <c r="H5" s="6">
        <v>1</v>
      </c>
      <c r="J5" t="s">
        <v>76</v>
      </c>
      <c r="K5" t="s">
        <v>82</v>
      </c>
      <c r="L5">
        <v>1</v>
      </c>
      <c r="N5" t="s">
        <v>76</v>
      </c>
      <c r="O5" t="s">
        <v>83</v>
      </c>
      <c r="P5">
        <v>1</v>
      </c>
      <c r="S5" t="s">
        <v>84</v>
      </c>
      <c r="T5">
        <v>1</v>
      </c>
      <c r="U5" t="s">
        <v>85</v>
      </c>
      <c r="V5" t="s">
        <v>86</v>
      </c>
      <c r="W5" t="s">
        <v>87</v>
      </c>
    </row>
    <row r="6" spans="1:23">
      <c r="B6" t="s">
        <v>77</v>
      </c>
      <c r="C6" t="s">
        <v>88</v>
      </c>
      <c r="D6" s="6" t="s">
        <v>85</v>
      </c>
      <c r="F6" t="s">
        <v>77</v>
      </c>
      <c r="G6" t="s">
        <v>89</v>
      </c>
      <c r="H6" s="6" t="s">
        <v>90</v>
      </c>
      <c r="J6" t="s">
        <v>77</v>
      </c>
      <c r="K6" t="s">
        <v>91</v>
      </c>
      <c r="L6" t="s">
        <v>92</v>
      </c>
      <c r="N6" t="s">
        <v>77</v>
      </c>
      <c r="O6" t="s">
        <v>93</v>
      </c>
      <c r="P6" t="s">
        <v>94</v>
      </c>
      <c r="S6" t="s">
        <v>95</v>
      </c>
      <c r="T6">
        <v>1</v>
      </c>
      <c r="U6" t="s">
        <v>90</v>
      </c>
      <c r="V6" t="s">
        <v>96</v>
      </c>
      <c r="W6" t="s">
        <v>97</v>
      </c>
    </row>
    <row r="7" spans="1:23">
      <c r="B7" t="s">
        <v>98</v>
      </c>
      <c r="C7" t="s">
        <v>99</v>
      </c>
      <c r="D7" s="6" t="s">
        <v>86</v>
      </c>
      <c r="F7" t="s">
        <v>98</v>
      </c>
      <c r="G7" t="s">
        <v>100</v>
      </c>
      <c r="H7" s="6" t="s">
        <v>96</v>
      </c>
      <c r="J7" t="s">
        <v>98</v>
      </c>
      <c r="K7" t="s">
        <v>101</v>
      </c>
      <c r="L7" t="s">
        <v>102</v>
      </c>
      <c r="N7" t="s">
        <v>98</v>
      </c>
      <c r="O7" t="s">
        <v>103</v>
      </c>
      <c r="P7" t="s">
        <v>104</v>
      </c>
      <c r="S7" t="s">
        <v>105</v>
      </c>
      <c r="T7">
        <v>1</v>
      </c>
      <c r="U7" t="s">
        <v>92</v>
      </c>
      <c r="V7" t="s">
        <v>102</v>
      </c>
      <c r="W7" t="s">
        <v>106</v>
      </c>
    </row>
    <row r="8" spans="1:23">
      <c r="B8" t="s">
        <v>107</v>
      </c>
      <c r="C8">
        <f xml:space="preserve">5+0+2</f>
        <v>7</v>
      </c>
      <c r="D8" s="6">
        <v>7</v>
      </c>
      <c r="F8" t="s">
        <v>107</v>
      </c>
      <c r="G8">
        <f xml:space="preserve">1+0+0</f>
        <v>1</v>
      </c>
      <c r="H8" s="6">
        <v>1</v>
      </c>
      <c r="J8" t="s">
        <v>107</v>
      </c>
      <c r="K8">
        <f xml:space="preserve">3+0+2</f>
        <v>5</v>
      </c>
      <c r="L8">
        <v>5</v>
      </c>
      <c r="N8" t="s">
        <v>107</v>
      </c>
      <c r="O8">
        <f xml:space="preserve">2+0+1</f>
        <v>3</v>
      </c>
      <c r="P8">
        <v>3</v>
      </c>
      <c r="S8" t="s">
        <v>108</v>
      </c>
      <c r="T8">
        <v>1</v>
      </c>
      <c r="U8" t="s">
        <v>94</v>
      </c>
      <c r="V8" t="s">
        <v>104</v>
      </c>
      <c r="W8" t="s">
        <v>92</v>
      </c>
    </row>
    <row r="9" spans="1:23">
      <c r="B9" t="s">
        <v>109</v>
      </c>
      <c r="C9" t="s">
        <v>110</v>
      </c>
      <c r="D9" s="6" t="s">
        <v>87</v>
      </c>
      <c r="F9" t="s">
        <v>109</v>
      </c>
      <c r="G9" t="s">
        <v>111</v>
      </c>
      <c r="H9" s="6" t="s">
        <v>97</v>
      </c>
      <c r="J9" t="s">
        <v>109</v>
      </c>
      <c r="K9" t="s">
        <v>112</v>
      </c>
      <c r="L9" t="s">
        <v>106</v>
      </c>
      <c r="N9" t="s">
        <v>109</v>
      </c>
      <c r="O9" t="s">
        <v>113</v>
      </c>
      <c r="P9" t="s">
        <v>92</v>
      </c>
      <c r="S9" t="s">
        <v>114</v>
      </c>
      <c r="T9">
        <v>1</v>
      </c>
      <c r="U9" t="s">
        <v>115</v>
      </c>
      <c r="V9" t="s">
        <v>116</v>
      </c>
      <c r="W9" t="s">
        <v>117</v>
      </c>
    </row>
    <row r="11" s="11" customFormat="1" spans="1:23">
      <c r="A11" s="17" t="s">
        <v>118</v>
      </c>
      <c r="B11" s="11" t="s">
        <v>119</v>
      </c>
      <c r="C11" s="17">
        <v>7</v>
      </c>
      <c r="F11" s="11" t="s">
        <v>119</v>
      </c>
      <c r="G11" s="17">
        <v>5</v>
      </c>
      <c r="J11" s="17" t="s">
        <v>119</v>
      </c>
      <c r="K11" s="17">
        <v>11</v>
      </c>
      <c r="N11" s="11" t="s">
        <v>119</v>
      </c>
      <c r="O11" s="17">
        <v>6</v>
      </c>
    </row>
    <row r="12" s="11" customFormat="1" ht="15" spans="1:23">
      <c r="A12" s="17"/>
      <c r="B12" s="18" t="s">
        <v>120</v>
      </c>
      <c r="C12" s="17">
        <v>12</v>
      </c>
      <c r="F12" s="11" t="s">
        <v>120</v>
      </c>
      <c r="G12" s="17">
        <v>6</v>
      </c>
      <c r="J12" s="17" t="s">
        <v>120</v>
      </c>
      <c r="K12" s="17">
        <v>14</v>
      </c>
      <c r="N12" s="11" t="s">
        <v>120</v>
      </c>
      <c r="O12" s="17">
        <v>8</v>
      </c>
    </row>
  </sheetData>
  <mergeCells count="6">
    <mergeCell ref="B3:D3"/>
    <mergeCell ref="F3:H3"/>
    <mergeCell ref="J3:L3"/>
    <mergeCell ref="N3:P3"/>
    <mergeCell ref="S3:W3"/>
    <mergeCell ref="A11:A1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8"/>
  <sheetViews>
    <sheetView topLeftCell="B1" workbookViewId="0">
      <selection activeCell="Q6" sqref="Q6"/>
    </sheetView>
  </sheetViews>
  <sheetFormatPr defaultColWidth="9" defaultRowHeight="14.4"/>
  <cols>
    <col min="2" max="2" width="38.8888888888889" customWidth="1"/>
    <col min="3" max="5" width="10.5555555555556" customWidth="1"/>
    <col min="6" max="6" width="19.8888888888889" customWidth="1"/>
  </cols>
  <sheetData>
    <row r="1" spans="2:14">
      <c r="C1" s="4" t="s">
        <v>121</v>
      </c>
      <c r="D1" s="4"/>
      <c r="E1" s="4"/>
      <c r="F1" s="4"/>
      <c r="G1" s="4"/>
      <c r="H1" s="4"/>
      <c r="I1" s="5" t="s">
        <v>122</v>
      </c>
      <c r="J1" s="5"/>
      <c r="K1" s="5"/>
      <c r="L1" s="5"/>
      <c r="M1" s="5"/>
      <c r="N1" s="5"/>
    </row>
    <row r="2" spans="2:14">
      <c r="C2" s="6" t="s">
        <v>119</v>
      </c>
      <c r="D2" s="6" t="s">
        <v>123</v>
      </c>
      <c r="E2" s="6" t="s">
        <v>124</v>
      </c>
      <c r="F2" s="6" t="s">
        <v>77</v>
      </c>
      <c r="G2" s="6" t="s">
        <v>76</v>
      </c>
      <c r="H2" s="6" t="s">
        <v>98</v>
      </c>
      <c r="I2" s="6" t="s">
        <v>119</v>
      </c>
      <c r="J2" s="6" t="s">
        <v>123</v>
      </c>
      <c r="K2" s="6" t="s">
        <v>124</v>
      </c>
      <c r="L2" s="6" t="s">
        <v>77</v>
      </c>
      <c r="M2" s="6" t="s">
        <v>76</v>
      </c>
      <c r="N2" s="6" t="s">
        <v>98</v>
      </c>
    </row>
    <row r="3" spans="2:14">
      <c r="B3" t="s">
        <v>125</v>
      </c>
      <c r="C3" s="6">
        <v>10</v>
      </c>
      <c r="D3" s="6">
        <v>0</v>
      </c>
      <c r="E3" s="6">
        <v>7</v>
      </c>
      <c r="F3" s="7">
        <f xml:space="preserve">C3/(C3+D3)</f>
        <v>1</v>
      </c>
      <c r="G3" s="7">
        <f xml:space="preserve">C3/(C3+E3)</f>
        <v>0.588235294117647</v>
      </c>
      <c r="H3" s="7">
        <f xml:space="preserve">2*((F3*G3)/(F3+G3))</f>
        <v>0.740740740740741</v>
      </c>
      <c r="I3" s="6">
        <v>11</v>
      </c>
      <c r="J3" s="6">
        <v>0</v>
      </c>
      <c r="K3" s="6">
        <v>6</v>
      </c>
      <c r="L3" s="7">
        <f xml:space="preserve">I3/(I3+J3)</f>
        <v>1</v>
      </c>
      <c r="M3" s="7">
        <f xml:space="preserve">I3/(I3+K3)</f>
        <v>0.647058823529412</v>
      </c>
      <c r="N3" s="7">
        <f xml:space="preserve">2*(('final resualts'!L3*'final resualts'!M3)/('final resualts'!L3+'final resualts'!M3))</f>
        <v>0.785714285714286</v>
      </c>
    </row>
    <row r="4" spans="2:14">
      <c r="B4" t="s">
        <v>126</v>
      </c>
      <c r="C4" s="6">
        <v>5</v>
      </c>
      <c r="D4" s="6">
        <v>3</v>
      </c>
      <c r="E4" s="6">
        <v>3</v>
      </c>
      <c r="F4" s="7">
        <f t="shared" ref="F4:F6" si="0" xml:space="preserve">C4/(C4+D4)</f>
        <v>0.625</v>
      </c>
      <c r="G4" s="7">
        <f t="shared" ref="G4:G7" si="1" xml:space="preserve">C4/(C4+E4)</f>
        <v>0.625</v>
      </c>
      <c r="H4" s="7">
        <f xml:space="preserve">2*((F4*G4)/(F4+G4))</f>
        <v>0.625</v>
      </c>
      <c r="I4" s="8">
        <v>8</v>
      </c>
      <c r="J4" s="8">
        <v>3</v>
      </c>
      <c r="K4" s="8">
        <v>0</v>
      </c>
      <c r="L4" s="7">
        <f t="shared" ref="L4:L7" si="2" xml:space="preserve">I4/(I4+J4)</f>
        <v>0.727272727272727</v>
      </c>
      <c r="M4" s="7">
        <f t="shared" ref="M4:M7" si="3" xml:space="preserve">I4/(I4+K4)</f>
        <v>1</v>
      </c>
      <c r="N4" s="7">
        <f xml:space="preserve">2*(('final resualts'!L4*'final resualts'!M4)/('final resualts'!L4+'final resualts'!M4))</f>
        <v>0.842105263157895</v>
      </c>
    </row>
    <row r="5" spans="2:14">
      <c r="B5" t="s">
        <v>127</v>
      </c>
      <c r="C5" s="6">
        <v>11</v>
      </c>
      <c r="D5" s="6">
        <v>0</v>
      </c>
      <c r="E5" s="6">
        <v>8</v>
      </c>
      <c r="F5" s="7">
        <f t="shared" si="0"/>
        <v>1</v>
      </c>
      <c r="G5" s="7">
        <f t="shared" si="1"/>
        <v>0.578947368421053</v>
      </c>
      <c r="H5" s="7">
        <f xml:space="preserve">2*((F5*G5)/(F5+G5))</f>
        <v>0.733333333333333</v>
      </c>
      <c r="I5" s="6">
        <v>17</v>
      </c>
      <c r="J5" s="6">
        <v>0</v>
      </c>
      <c r="K5" s="6">
        <v>2</v>
      </c>
      <c r="L5" s="7">
        <f t="shared" si="2"/>
        <v>1</v>
      </c>
      <c r="M5" s="7">
        <f t="shared" si="3"/>
        <v>0.894736842105263</v>
      </c>
      <c r="N5" s="7">
        <f xml:space="preserve">2*(('final resualts'!L5*'final resualts'!M5)/('final resualts'!L5+'final resualts'!M5))</f>
        <v>0.944444444444444</v>
      </c>
    </row>
    <row r="6" spans="2:14">
      <c r="B6" t="s">
        <v>128</v>
      </c>
      <c r="C6" s="6">
        <v>6</v>
      </c>
      <c r="D6" s="6">
        <v>0</v>
      </c>
      <c r="E6" s="6">
        <v>7</v>
      </c>
      <c r="F6" s="7">
        <f t="shared" si="0"/>
        <v>1</v>
      </c>
      <c r="G6" s="7">
        <f t="shared" si="1"/>
        <v>0.461538461538462</v>
      </c>
      <c r="H6" s="7">
        <f xml:space="preserve">2*((F6*G6)/(F6+G6))</f>
        <v>0.631578947368421</v>
      </c>
      <c r="I6" s="6">
        <v>9</v>
      </c>
      <c r="J6" s="6">
        <v>0</v>
      </c>
      <c r="K6" s="6">
        <v>4</v>
      </c>
      <c r="L6" s="7">
        <f t="shared" si="2"/>
        <v>1</v>
      </c>
      <c r="M6" s="7">
        <f t="shared" si="3"/>
        <v>0.692307692307692</v>
      </c>
      <c r="N6" s="7">
        <f xml:space="preserve">2*(('final resualts'!L6*'final resualts'!M6)/('final resualts'!L6+'final resualts'!M6))</f>
        <v>0.818181818181818</v>
      </c>
    </row>
    <row r="7" spans="2:14">
      <c r="B7" t="s">
        <v>129</v>
      </c>
      <c r="C7" s="6">
        <f xml:space="preserve">SUM(C3:C6)</f>
        <v>32</v>
      </c>
      <c r="D7" s="6">
        <f t="shared" ref="D7:E7" si="4" xml:space="preserve">SUM(D3:D6)</f>
        <v>3</v>
      </c>
      <c r="E7" s="6">
        <f t="shared" si="4"/>
        <v>25</v>
      </c>
      <c r="F7" s="7">
        <f xml:space="preserve">AVERAGE(F3:F6)</f>
        <v>0.90625</v>
      </c>
      <c r="G7" s="7">
        <f xml:space="preserve">AVERAGE(G3:G6)</f>
        <v>0.56343028101929</v>
      </c>
      <c r="H7" s="7">
        <f xml:space="preserve">2*((F7*G7)/(F7+G7))</f>
        <v>0.694856832153455</v>
      </c>
      <c r="I7" s="8">
        <f xml:space="preserve">SUM(I3:I6)</f>
        <v>45</v>
      </c>
      <c r="J7" s="8">
        <f t="shared" ref="J7:K7" si="5" xml:space="preserve">SUM(J3:J6)</f>
        <v>3</v>
      </c>
      <c r="K7" s="8">
        <f t="shared" si="5"/>
        <v>12</v>
      </c>
      <c r="L7" s="7">
        <f t="shared" si="2"/>
        <v>0.9375</v>
      </c>
      <c r="M7" s="7">
        <f t="shared" si="3"/>
        <v>0.789473684210526</v>
      </c>
      <c r="N7" s="7">
        <f xml:space="preserve">2*(('final resualts'!L7*'final resualts'!M7)/('final resualts'!L7+'final resualts'!M7))</f>
        <v>0.857142857142857</v>
      </c>
    </row>
    <row r="10" spans="2:14">
      <c r="F10" s="8"/>
      <c r="G10" s="8"/>
      <c r="H10" s="8"/>
    </row>
    <row r="11" spans="2:14">
      <c r="F11" s="8"/>
      <c r="G11" s="8"/>
      <c r="H11" s="8"/>
    </row>
    <row r="12" spans="2:14">
      <c r="F12" s="8"/>
      <c r="G12" s="8"/>
      <c r="H12" s="8"/>
      <c r="M12" s="7"/>
    </row>
    <row r="13" spans="2:14">
      <c r="F13" s="8"/>
      <c r="G13" s="8"/>
      <c r="H13" s="8"/>
    </row>
    <row r="14" spans="2:14">
      <c r="F14" s="9"/>
    </row>
    <row r="15" spans="2:14">
      <c r="F15" s="9"/>
    </row>
    <row r="16" spans="2:14">
      <c r="F16" s="9"/>
    </row>
    <row r="17" spans="6:8">
      <c r="F17" s="9"/>
      <c r="H17" s="10"/>
    </row>
    <row r="18" spans="6:8">
      <c r="H18" s="10"/>
    </row>
  </sheetData>
  <mergeCells count="2">
    <mergeCell ref="C1:H1"/>
    <mergeCell ref="I1:N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opLeftCell="A13" workbookViewId="0">
      <selection activeCell="D50" sqref="D50"/>
    </sheetView>
  </sheetViews>
  <sheetFormatPr defaultColWidth="9" defaultRowHeight="14.4" outlineLevelRow="6"/>
  <cols>
    <col min="7" max="7" width="24.5555555555556" customWidth="1"/>
    <col min="8" max="8" width="17.5555555555556" customWidth="1"/>
    <col min="9" max="9" width="15.8888888888889" customWidth="1"/>
    <col min="12" max="12" width="24.5555555555556" customWidth="1"/>
    <col min="13" max="13" width="17.5555555555556" customWidth="1"/>
    <col min="14" max="14" width="15.8888888888889" customWidth="1"/>
    <col min="17" max="17" width="24.5555555555556" customWidth="1"/>
  </cols>
  <sheetData>
    <row r="1" ht="18" spans="1:19">
      <c r="A1" s="3" t="s">
        <v>130</v>
      </c>
    </row>
    <row r="2" spans="1:19">
      <c r="G2" t="s">
        <v>77</v>
      </c>
      <c r="L2" t="s">
        <v>76</v>
      </c>
      <c r="Q2" t="s">
        <v>131</v>
      </c>
    </row>
    <row r="3" spans="1:19">
      <c r="G3" t="s">
        <v>132</v>
      </c>
      <c r="H3" t="s">
        <v>133</v>
      </c>
      <c r="I3" t="s">
        <v>134</v>
      </c>
      <c r="L3" t="s">
        <v>132</v>
      </c>
      <c r="M3" t="s">
        <v>133</v>
      </c>
      <c r="N3" t="s">
        <v>134</v>
      </c>
      <c r="Q3" t="s">
        <v>132</v>
      </c>
      <c r="R3" t="s">
        <v>133</v>
      </c>
      <c r="S3" t="s">
        <v>134</v>
      </c>
    </row>
    <row r="4" spans="1:19">
      <c r="G4" t="s">
        <v>135</v>
      </c>
      <c r="H4">
        <v>1</v>
      </c>
      <c r="I4">
        <v>1</v>
      </c>
      <c r="L4" t="s">
        <v>135</v>
      </c>
      <c r="M4">
        <v>0.588</v>
      </c>
      <c r="N4">
        <v>0.647</v>
      </c>
      <c r="Q4" t="s">
        <v>135</v>
      </c>
      <c r="R4">
        <v>0.741</v>
      </c>
      <c r="S4">
        <v>0.786</v>
      </c>
    </row>
    <row r="5" spans="1:19">
      <c r="G5" t="s">
        <v>136</v>
      </c>
      <c r="H5">
        <v>0.625</v>
      </c>
      <c r="I5">
        <v>0.727</v>
      </c>
      <c r="L5" t="s">
        <v>136</v>
      </c>
      <c r="M5">
        <v>0.625</v>
      </c>
      <c r="N5">
        <v>1</v>
      </c>
      <c r="Q5" t="s">
        <v>136</v>
      </c>
      <c r="R5">
        <v>0.625</v>
      </c>
      <c r="S5">
        <v>0.842</v>
      </c>
    </row>
    <row r="6" spans="1:19">
      <c r="G6" t="s">
        <v>137</v>
      </c>
      <c r="H6">
        <v>1</v>
      </c>
      <c r="I6">
        <v>1</v>
      </c>
      <c r="L6" t="s">
        <v>137</v>
      </c>
      <c r="M6">
        <v>0.579</v>
      </c>
      <c r="N6">
        <v>0.895</v>
      </c>
      <c r="Q6" t="s">
        <v>137</v>
      </c>
      <c r="R6">
        <v>0.733</v>
      </c>
      <c r="S6">
        <v>0.944</v>
      </c>
    </row>
    <row r="7" spans="1:19">
      <c r="G7" t="s">
        <v>138</v>
      </c>
      <c r="H7">
        <v>1</v>
      </c>
      <c r="I7">
        <v>1</v>
      </c>
      <c r="L7" t="s">
        <v>138</v>
      </c>
      <c r="M7">
        <v>0.462</v>
      </c>
      <c r="N7">
        <v>0.692</v>
      </c>
      <c r="Q7" t="s">
        <v>138</v>
      </c>
      <c r="R7">
        <v>0.632</v>
      </c>
      <c r="S7">
        <v>0.818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J26" sqref="J26"/>
    </sheetView>
  </sheetViews>
  <sheetFormatPr defaultColWidth="9" defaultRowHeight="14.4" outlineLevelRow="4"/>
  <cols>
    <col min="1" max="1" width="24.5555555555556" customWidth="1"/>
  </cols>
  <sheetData>
    <row r="1" spans="1:17">
      <c r="A1" t="s">
        <v>132</v>
      </c>
      <c r="B1" t="s">
        <v>133</v>
      </c>
      <c r="C1" t="s">
        <v>134</v>
      </c>
      <c r="H1" t="s">
        <v>132</v>
      </c>
      <c r="I1" t="s">
        <v>133</v>
      </c>
      <c r="J1" t="s">
        <v>134</v>
      </c>
      <c r="O1" t="s">
        <v>132</v>
      </c>
      <c r="P1" t="s">
        <v>133</v>
      </c>
      <c r="Q1" t="s">
        <v>134</v>
      </c>
    </row>
    <row r="2" spans="1:17">
      <c r="A2" s="1" t="s">
        <v>135</v>
      </c>
      <c r="B2" s="2">
        <v>1</v>
      </c>
      <c r="C2" s="2">
        <v>1</v>
      </c>
      <c r="H2" t="s">
        <v>135</v>
      </c>
      <c r="I2" s="2">
        <v>0.588</v>
      </c>
      <c r="J2" s="2">
        <v>0.647</v>
      </c>
      <c r="O2" t="s">
        <v>135</v>
      </c>
      <c r="P2" s="2">
        <v>0.741</v>
      </c>
      <c r="Q2" s="2">
        <v>0.786</v>
      </c>
    </row>
    <row r="3" spans="1:17">
      <c r="A3" s="1" t="s">
        <v>136</v>
      </c>
      <c r="B3" s="2">
        <v>0.625</v>
      </c>
      <c r="C3" s="2">
        <v>0.727</v>
      </c>
      <c r="H3" t="s">
        <v>136</v>
      </c>
      <c r="I3" s="2">
        <v>0.625</v>
      </c>
      <c r="J3" s="2">
        <v>1</v>
      </c>
      <c r="O3" t="s">
        <v>136</v>
      </c>
      <c r="P3" s="2">
        <v>0.625</v>
      </c>
      <c r="Q3" s="2">
        <v>0.842</v>
      </c>
    </row>
    <row r="4" spans="1:17">
      <c r="A4" s="1" t="s">
        <v>139</v>
      </c>
      <c r="B4" s="2">
        <v>1</v>
      </c>
      <c r="C4" s="2">
        <v>1</v>
      </c>
      <c r="H4" t="s">
        <v>139</v>
      </c>
      <c r="I4" s="2">
        <v>0.579</v>
      </c>
      <c r="J4" s="2">
        <v>0.895</v>
      </c>
      <c r="O4" t="s">
        <v>139</v>
      </c>
      <c r="P4" s="2">
        <v>0.733</v>
      </c>
      <c r="Q4" s="2">
        <v>0.944</v>
      </c>
    </row>
    <row r="5" spans="1:17">
      <c r="A5" s="1" t="s">
        <v>138</v>
      </c>
      <c r="B5" s="2">
        <v>1</v>
      </c>
      <c r="C5" s="2">
        <v>1</v>
      </c>
      <c r="H5" t="s">
        <v>138</v>
      </c>
      <c r="I5" s="2">
        <v>0.462</v>
      </c>
      <c r="J5" s="2">
        <v>0.692</v>
      </c>
      <c r="O5" t="s">
        <v>138</v>
      </c>
      <c r="P5" s="2">
        <v>0.632</v>
      </c>
      <c r="Q5" s="2">
        <v>0.818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HealthCareApp</vt:lpstr>
      <vt:lpstr>OpenApp</vt:lpstr>
      <vt:lpstr>Acmeapp</vt:lpstr>
      <vt:lpstr>CamundaApp</vt:lpstr>
      <vt:lpstr>All view</vt:lpstr>
      <vt:lpstr> results</vt:lpstr>
      <vt:lpstr>final resualts</vt:lpstr>
      <vt:lpstr>owl_analysis_chart</vt:lpstr>
      <vt:lpstr>Three-panel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TOPAZ</dc:creator>
  <cp:lastModifiedBy>WPS_1789928980</cp:lastModifiedBy>
  <dcterms:created xsi:type="dcterms:W3CDTF">2015-06-05T18:17:00Z</dcterms:created>
  <dcterms:modified xsi:type="dcterms:W3CDTF">2026-10-18T08:23:22Z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778AAB06A3E74CB9A483AFEFC89C17FD_12</vt:lpwstr>
  </property>
</Properties>
</file>