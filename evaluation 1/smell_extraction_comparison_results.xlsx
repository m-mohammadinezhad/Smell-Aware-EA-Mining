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264"/>
  </bookViews>
  <sheets>
    <sheet name="Expert Evalu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<sst xmlns="http://schemas.openxmlformats.org/spreadsheetml/2006/main" count="89" uniqueCount="58">
  <si>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smell</t>
  </si>
  <si>
    <t>status</t>
  </si>
  <si>
    <t>instance</t>
  </si>
  <si>
    <t>Expected</t>
  </si>
  <si>
    <t>TP(True Positive)</t>
  </si>
  <si>
    <t>FP(False Positive)</t>
  </si>
  <si>
    <t>FN (False Negative)</t>
  </si>
  <si>
    <t>Chatty Service</t>
  </si>
  <si>
    <t>Detected</t>
  </si>
  <si>
    <t>Combinatorial Explosion</t>
  </si>
  <si>
    <t>Metric / Term</t>
  </si>
  <si>
    <t>Definition / Formula</t>
  </si>
  <si>
    <t>Value</t>
  </si>
  <si>
    <t>Description</t>
  </si>
  <si>
    <t>Cyclic Dependency</t>
  </si>
  <si>
    <t>TP</t>
  </si>
  <si>
    <t>min ⁡ ( Instances Detected , Expected ) min(Instances Detected,Expected)</t>
  </si>
  <si>
    <t>—</t>
  </si>
  <si>
    <t>True Positive: Correctly identified smells (matching expert ground truth).</t>
  </si>
  <si>
    <t>Data Service</t>
  </si>
  <si>
    <t>FP</t>
  </si>
  <si>
    <t>Detected − TP</t>
  </si>
  <si>
    <t>False Positive: Incorrectly identified smells (misclassifications by the platform).</t>
  </si>
  <si>
    <t>Dead Component</t>
  </si>
  <si>
    <t>FN</t>
  </si>
  <si>
    <t>Expected −  TP</t>
  </si>
  <si>
    <t>False Negative: Missed smells (actual smells unflagged by the platform).</t>
  </si>
  <si>
    <t>Deadlock</t>
  </si>
  <si>
    <t>Not detected</t>
  </si>
  <si>
    <t>Deficient Encapsulation</t>
  </si>
  <si>
    <t>Feature Envy</t>
  </si>
  <si>
    <t>Precision</t>
  </si>
  <si>
    <t>∑TP/∑detected=TP / TP+FP</t>
  </si>
  <si>
    <t>Incomplete Pairs</t>
  </si>
  <si>
    <t>Recall</t>
  </si>
  <si>
    <t>∑TP/∑Expected = TP / TP+FN</t>
  </si>
  <si>
    <t>Infinite Loop</t>
  </si>
  <si>
    <t>Junction named as element</t>
  </si>
  <si>
    <t>Message Chain</t>
  </si>
  <si>
    <t>Missing Abstraction</t>
  </si>
  <si>
    <t>Missing Negative Case</t>
  </si>
  <si>
    <t>Multifaceted Abstraction</t>
  </si>
  <si>
    <t>Nanoservices</t>
  </si>
  <si>
    <t>No Legacy</t>
  </si>
  <si>
    <t>Overgeneralization</t>
  </si>
  <si>
    <t>End Event Missing</t>
  </si>
  <si>
    <t>Start Event Missing</t>
  </si>
  <si>
    <t>Sand Pile</t>
  </si>
  <si>
    <t>Scattered Parasitic Functionality</t>
  </si>
  <si>
    <t>Shared Persistency</t>
  </si>
  <si>
    <t>Shotgun Surgery</t>
  </si>
  <si>
    <t>Stovepipe System</t>
  </si>
  <si>
    <t>Strict Layers Violation</t>
  </si>
  <si>
    <t>The God Object</t>
  </si>
  <si>
    <t>Useless Test</t>
  </si>
  <si>
    <t>Vendor Lock-In</t>
  </si>
  <si>
    <t>Warm Bodies</t>
  </si>
  <si>
    <t>Wrong Cuts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</si>
</sst>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L22" sqref="L22"/>
    </sheetView>
  </sheetViews>
  <sheetFormatPr defaultColWidth="9" defaultRowHeight="14.4"/>
  <cols>
    <col min="2" max="2" width="32.2222222222222" customWidth="1"/>
    <col min="3" max="3" width="15.2222222222222" customWidth="1"/>
    <col min="4" max="4" width="8.88888888888889" style="1"/>
    <col min="6" max="6" width="8.88888888888889" style="1"/>
    <col min="7" max="7" width="14.6666666666667" customWidth="1"/>
    <col min="8" max="8" width="15" customWidth="1"/>
    <col min="9" max="9" width="16.6666666666667" customWidth="1"/>
    <col min="10" max="10" width="11.1111111111111" customWidth="1"/>
    <col min="11" max="11" width="13.2222222222222" customWidth="1"/>
    <col min="12" max="12" width="68.4444444444444" customWidth="1"/>
    <col min="13" max="13" width="9.44444444444444" style="2" customWidth="1"/>
    <col min="14" max="14" width="72" customWidth="1"/>
  </cols>
  <sheetData>
    <row r="1" spans="2:14">
      <c r="B1" s="3" t="s">
        <v>0</v>
      </c>
      <c r="C1" s="3" t="s">
        <v>1</v>
      </c>
      <c r="D1" s="4" t="s">
        <v>2</v>
      </c>
      <c r="E1" s="3"/>
      <c r="F1" s="4" t="s">
        <v>3</v>
      </c>
      <c r="G1" s="4" t="s">
        <v>4</v>
      </c>
      <c r="H1" s="3" t="s">
        <v>5</v>
      </c>
      <c r="I1" s="3" t="s">
        <v>6</v>
      </c>
    </row>
    <row r="2" spans="2:14">
      <c r="B2" t="s">
        <v>7</v>
      </c>
      <c r="C2" t="s">
        <v>8</v>
      </c>
      <c r="D2" s="1">
        <v>7</v>
      </c>
      <c r="F2" s="1">
        <v>7</v>
      </c>
      <c r="G2" s="1">
        <f xml:space="preserve">MIN(D2,F2)</f>
        <v>7</v>
      </c>
      <c r="H2" s="1">
        <f xml:space="preserve">MAX(0,D2-F2)</f>
        <v>0</v>
      </c>
      <c r="I2" s="5">
        <f xml:space="preserve">MAX(0, F2 - G2)</f>
        <v>0</v>
      </c>
    </row>
    <row r="3" spans="2:14">
      <c r="B3" t="s">
        <v>9</v>
      </c>
      <c r="C3" t="s">
        <v>8</v>
      </c>
      <c r="D3" s="1">
        <v>5</v>
      </c>
      <c r="F3" s="1">
        <v>3</v>
      </c>
      <c r="G3" s="1">
        <f t="shared" ref="G3:G32" si="0" xml:space="preserve">MIN(D3,F3)</f>
        <v>3</v>
      </c>
      <c r="H3" s="1">
        <f xml:space="preserve">MAX(0,D3-F3)</f>
        <v>2</v>
      </c>
      <c r="I3" s="5">
        <f t="shared" ref="I3:I11" si="1" xml:space="preserve">MAX(0, F3 - G3)</f>
        <v>0</v>
      </c>
      <c r="K3" t="s">
        <v>10</v>
      </c>
      <c r="L3" t="s">
        <v>11</v>
      </c>
      <c r="M3" s="2" t="s">
        <v>12</v>
      </c>
      <c r="N3" t="s">
        <v>13</v>
      </c>
    </row>
    <row r="4" spans="2:14">
      <c r="B4" t="s">
        <v>14</v>
      </c>
      <c r="C4" t="s">
        <v>8</v>
      </c>
      <c r="D4" s="1">
        <v>7</v>
      </c>
      <c r="F4" s="1">
        <v>2</v>
      </c>
      <c r="G4" s="1">
        <f t="shared" si="0"/>
        <v>2</v>
      </c>
      <c r="H4" s="1">
        <f xml:space="preserve">MAX(0,D4-F4)</f>
        <v>5</v>
      </c>
      <c r="I4" s="5">
        <f t="shared" si="1"/>
        <v>0</v>
      </c>
      <c r="K4" t="s">
        <v>15</v>
      </c>
      <c r="L4" t="s">
        <v>16</v>
      </c>
      <c r="M4" s="2" t="s">
        <v>17</v>
      </c>
      <c r="N4" t="s">
        <v>18</v>
      </c>
    </row>
    <row r="5" spans="2:14">
      <c r="B5" t="s">
        <v>19</v>
      </c>
      <c r="C5" t="s">
        <v>8</v>
      </c>
      <c r="D5" s="1">
        <v>3</v>
      </c>
      <c r="F5" s="1">
        <v>3</v>
      </c>
      <c r="G5" s="1">
        <f t="shared" si="0"/>
        <v>3</v>
      </c>
      <c r="H5" s="1">
        <f xml:space="preserve">MAX(0,D5-F5)</f>
        <v>0</v>
      </c>
      <c r="I5" s="5">
        <f t="shared" si="1"/>
        <v>0</v>
      </c>
      <c r="K5" t="s">
        <v>20</v>
      </c>
      <c r="L5" t="s">
        <v>21</v>
      </c>
      <c r="M5" s="2" t="s">
        <v>17</v>
      </c>
      <c r="N5" t="s">
        <v>22</v>
      </c>
    </row>
    <row r="6" spans="2:14">
      <c r="B6" t="s">
        <v>23</v>
      </c>
      <c r="C6" t="s">
        <v>8</v>
      </c>
      <c r="D6" s="1">
        <v>97</v>
      </c>
      <c r="F6" s="1">
        <v>89</v>
      </c>
      <c r="G6" s="1">
        <f t="shared" si="0"/>
        <v>89</v>
      </c>
      <c r="H6" s="1">
        <f xml:space="preserve">MAX(0,D6-F6)</f>
        <v>8</v>
      </c>
      <c r="I6" s="5">
        <f t="shared" si="1"/>
        <v>0</v>
      </c>
      <c r="K6" t="s">
        <v>24</v>
      </c>
      <c r="L6" t="s">
        <v>25</v>
      </c>
      <c r="M6" s="2" t="s">
        <v>17</v>
      </c>
      <c r="N6" t="s">
        <v>26</v>
      </c>
    </row>
    <row r="7" spans="2:14">
      <c r="B7" t="s">
        <v>27</v>
      </c>
      <c r="C7" t="s">
        <v>28</v>
      </c>
      <c r="D7" s="1">
        <v>0</v>
      </c>
      <c r="F7" s="1">
        <v>1</v>
      </c>
      <c r="G7" s="1">
        <f t="shared" si="0"/>
        <v>0</v>
      </c>
      <c r="H7" s="1">
        <f t="shared" ref="H7:H21" si="2" xml:space="preserve">MAX(0,D7-F7)</f>
        <v>0</v>
      </c>
      <c r="I7" s="5">
        <f t="shared" si="1"/>
        <v>1</v>
      </c>
    </row>
    <row r="8" spans="2:14">
      <c r="B8" t="s">
        <v>29</v>
      </c>
      <c r="C8" t="s">
        <v>8</v>
      </c>
      <c r="D8" s="1">
        <v>1</v>
      </c>
      <c r="F8" s="1">
        <v>1</v>
      </c>
      <c r="G8" s="1">
        <f t="shared" si="0"/>
        <v>1</v>
      </c>
      <c r="H8" s="1">
        <f t="shared" si="2"/>
        <v>0</v>
      </c>
      <c r="I8" s="5">
        <f t="shared" si="1"/>
        <v>0</v>
      </c>
    </row>
    <row r="9" spans="2:14">
      <c r="B9" t="s">
        <v>30</v>
      </c>
      <c r="C9" t="s">
        <v>8</v>
      </c>
      <c r="D9" s="1">
        <v>2</v>
      </c>
      <c r="F9" s="1">
        <v>2</v>
      </c>
      <c r="G9" s="1">
        <f t="shared" si="0"/>
        <v>2</v>
      </c>
      <c r="H9" s="1">
        <f t="shared" si="2"/>
        <v>0</v>
      </c>
      <c r="I9" s="5">
        <f t="shared" si="1"/>
        <v>0</v>
      </c>
      <c r="K9" t="s">
        <v>31</v>
      </c>
      <c r="L9" s="1" t="s">
        <v>32</v>
      </c>
      <c r="M9" s="2">
        <v>0.8315</v>
      </c>
    </row>
    <row r="10" spans="2:14">
      <c r="B10" t="s">
        <v>33</v>
      </c>
      <c r="C10" t="s">
        <v>8</v>
      </c>
      <c r="D10" s="1">
        <v>1</v>
      </c>
      <c r="F10" s="1">
        <v>8</v>
      </c>
      <c r="G10" s="1">
        <f t="shared" si="0"/>
        <v>1</v>
      </c>
      <c r="H10" s="1">
        <f t="shared" si="2"/>
        <v>0</v>
      </c>
      <c r="I10" s="5">
        <f t="shared" si="1"/>
        <v>7</v>
      </c>
      <c r="K10" t="s">
        <v>34</v>
      </c>
      <c r="L10" s="5" t="s">
        <v>35</v>
      </c>
      <c r="M10" s="2">
        <v>0.7918</v>
      </c>
    </row>
    <row r="11" spans="2:14">
      <c r="B11" t="s">
        <v>36</v>
      </c>
      <c r="C11" t="s">
        <v>8</v>
      </c>
      <c r="D11" s="1">
        <v>1</v>
      </c>
      <c r="F11" s="1">
        <v>1</v>
      </c>
      <c r="G11" s="1">
        <f t="shared" si="0"/>
        <v>1</v>
      </c>
      <c r="H11" s="1">
        <f t="shared" si="2"/>
        <v>0</v>
      </c>
      <c r="I11" s="5">
        <f t="shared" si="1"/>
        <v>0</v>
      </c>
      <c r="L11" s="5"/>
      <c r="M11" s="2"/>
      <c r="N11" s="6"/>
    </row>
    <row r="12" spans="2:14">
      <c r="B12" t="s">
        <v>37</v>
      </c>
      <c r="C12" t="s">
        <v>8</v>
      </c>
      <c r="D12" s="1">
        <v>5</v>
      </c>
      <c r="F12" s="1">
        <v>1</v>
      </c>
      <c r="G12" s="1">
        <f t="shared" si="0"/>
        <v>1</v>
      </c>
      <c r="H12" s="1">
        <f t="shared" si="2"/>
        <v>4</v>
      </c>
      <c r="I12" s="5">
        <f t="shared" ref="I12:I13" si="3" xml:space="preserve">MAX(0, F12 - G12)</f>
        <v>0</v>
      </c>
    </row>
    <row r="13" spans="2:14">
      <c r="B13" t="s">
        <v>38</v>
      </c>
      <c r="C13" t="s">
        <v>8</v>
      </c>
      <c r="D13" s="1">
        <v>6</v>
      </c>
      <c r="F13" s="1">
        <v>6</v>
      </c>
      <c r="G13" s="1">
        <f t="shared" si="0"/>
        <v>6</v>
      </c>
      <c r="H13" s="1">
        <f t="shared" si="2"/>
        <v>0</v>
      </c>
      <c r="I13" s="5">
        <f t="shared" si="3"/>
        <v>0</v>
      </c>
    </row>
    <row r="14" spans="2:14">
      <c r="B14" t="s">
        <v>39</v>
      </c>
      <c r="C14" t="s">
        <v>8</v>
      </c>
      <c r="D14" s="1">
        <v>1</v>
      </c>
      <c r="F14" s="1">
        <v>1</v>
      </c>
      <c r="G14" s="1">
        <f t="shared" si="0"/>
        <v>1</v>
      </c>
      <c r="H14" s="1">
        <f t="shared" si="2"/>
        <v>0</v>
      </c>
      <c r="I14" s="5">
        <f t="shared" ref="I14:I18" si="4" xml:space="preserve">MAX(0, F14 - G14)</f>
        <v>0</v>
      </c>
      <c r="K14" s="7"/>
    </row>
    <row r="15" spans="2:14">
      <c r="B15" t="s">
        <v>40</v>
      </c>
      <c r="C15" t="s">
        <v>8</v>
      </c>
      <c r="D15" s="1">
        <v>4</v>
      </c>
      <c r="F15" s="1">
        <v>4</v>
      </c>
      <c r="G15" s="1">
        <f t="shared" si="0"/>
        <v>4</v>
      </c>
      <c r="H15" s="1">
        <f t="shared" si="2"/>
        <v>0</v>
      </c>
      <c r="I15" s="5">
        <f t="shared" si="4"/>
        <v>0</v>
      </c>
      <c r="K15" s="7"/>
    </row>
    <row r="16" spans="2:14">
      <c r="B16" t="s">
        <v>41</v>
      </c>
      <c r="C16" t="s">
        <v>8</v>
      </c>
      <c r="D16" s="1">
        <v>43</v>
      </c>
      <c r="F16" s="1">
        <v>41</v>
      </c>
      <c r="G16" s="1">
        <f t="shared" si="0"/>
        <v>41</v>
      </c>
      <c r="H16" s="1">
        <f t="shared" si="2"/>
        <v>2</v>
      </c>
      <c r="I16" s="5">
        <f t="shared" si="4"/>
        <v>0</v>
      </c>
      <c r="K16" s="7"/>
    </row>
    <row r="17" spans="2:11">
      <c r="B17" t="s">
        <v>42</v>
      </c>
      <c r="C17" t="s">
        <v>8</v>
      </c>
      <c r="D17" s="1">
        <v>17</v>
      </c>
      <c r="F17" s="1">
        <v>63</v>
      </c>
      <c r="G17" s="1">
        <f t="shared" si="0"/>
        <v>17</v>
      </c>
      <c r="H17" s="1">
        <f t="shared" si="2"/>
        <v>0</v>
      </c>
      <c r="I17" s="5">
        <f t="shared" si="4"/>
        <v>46</v>
      </c>
      <c r="K17" s="7"/>
    </row>
    <row r="18" spans="2:11">
      <c r="B18" t="s">
        <v>43</v>
      </c>
      <c r="C18" t="s">
        <v>8</v>
      </c>
      <c r="D18" s="1">
        <v>1</v>
      </c>
      <c r="F18" s="1">
        <v>1</v>
      </c>
      <c r="G18" s="1">
        <f t="shared" si="0"/>
        <v>1</v>
      </c>
      <c r="H18" s="1">
        <f t="shared" si="2"/>
        <v>0</v>
      </c>
      <c r="I18" s="5">
        <f t="shared" si="4"/>
        <v>0</v>
      </c>
    </row>
    <row r="19" spans="2:11">
      <c r="B19" t="s">
        <v>44</v>
      </c>
      <c r="C19" t="s">
        <v>28</v>
      </c>
      <c r="D19" s="1">
        <v>0</v>
      </c>
      <c r="F19" s="1">
        <v>1</v>
      </c>
      <c r="G19" s="1">
        <f t="shared" si="0"/>
        <v>0</v>
      </c>
      <c r="H19" s="1">
        <f t="shared" si="2"/>
        <v>0</v>
      </c>
      <c r="I19" s="5">
        <f t="shared" ref="I19:I26" si="5" xml:space="preserve">MAX(0, F19 - G19)</f>
        <v>1</v>
      </c>
    </row>
    <row r="20" spans="2:11">
      <c r="B20" t="s">
        <v>45</v>
      </c>
      <c r="C20" t="s">
        <v>8</v>
      </c>
      <c r="D20" s="1">
        <v>13</v>
      </c>
      <c r="F20" s="1">
        <v>4</v>
      </c>
      <c r="G20" s="1">
        <f t="shared" si="0"/>
        <v>4</v>
      </c>
      <c r="H20" s="1">
        <f t="shared" si="2"/>
        <v>9</v>
      </c>
      <c r="I20" s="5">
        <f t="shared" si="5"/>
        <v>0</v>
      </c>
    </row>
    <row r="21" spans="2:11">
      <c r="B21" t="s">
        <v>46</v>
      </c>
      <c r="C21" t="s">
        <v>8</v>
      </c>
      <c r="D21" s="1">
        <v>9</v>
      </c>
      <c r="F21" s="1">
        <v>3</v>
      </c>
      <c r="G21" s="1">
        <f t="shared" si="0"/>
        <v>3</v>
      </c>
      <c r="H21" s="1">
        <f t="shared" si="2"/>
        <v>6</v>
      </c>
      <c r="I21" s="5">
        <f t="shared" si="5"/>
        <v>0</v>
      </c>
    </row>
    <row r="22" spans="2:11">
      <c r="B22" t="s">
        <v>47</v>
      </c>
      <c r="C22" t="s">
        <v>8</v>
      </c>
      <c r="D22" s="1">
        <v>4</v>
      </c>
      <c r="F22" s="1">
        <v>2</v>
      </c>
      <c r="G22" s="1">
        <f t="shared" si="0"/>
        <v>2</v>
      </c>
      <c r="H22" s="1">
        <f t="shared" ref="H22:H32" si="6" xml:space="preserve">MAX(0,D22-F22)</f>
        <v>2</v>
      </c>
      <c r="I22" s="5">
        <f t="shared" si="5"/>
        <v>0</v>
      </c>
    </row>
    <row r="23" spans="2:11">
      <c r="B23" t="s">
        <v>48</v>
      </c>
      <c r="C23" t="s">
        <v>8</v>
      </c>
      <c r="D23" s="1">
        <v>3</v>
      </c>
      <c r="F23" s="1">
        <v>2</v>
      </c>
      <c r="G23" s="1">
        <f t="shared" si="0"/>
        <v>2</v>
      </c>
      <c r="H23" s="1">
        <f t="shared" si="6"/>
        <v>1</v>
      </c>
      <c r="I23" s="5">
        <f t="shared" si="5"/>
        <v>0</v>
      </c>
    </row>
    <row r="24" spans="2:11">
      <c r="B24" t="s">
        <v>49</v>
      </c>
      <c r="C24" t="s">
        <v>8</v>
      </c>
      <c r="D24" s="1">
        <v>5</v>
      </c>
      <c r="F24" s="1">
        <v>5</v>
      </c>
      <c r="G24" s="1">
        <f t="shared" si="0"/>
        <v>5</v>
      </c>
      <c r="H24" s="1">
        <f t="shared" si="6"/>
        <v>0</v>
      </c>
      <c r="I24" s="5">
        <f t="shared" si="5"/>
        <v>0</v>
      </c>
    </row>
    <row r="25" spans="2:11">
      <c r="B25" t="s">
        <v>50</v>
      </c>
      <c r="C25" t="s">
        <v>8</v>
      </c>
      <c r="D25" s="1">
        <v>8</v>
      </c>
      <c r="F25" s="1">
        <v>2</v>
      </c>
      <c r="G25" s="1">
        <f t="shared" si="0"/>
        <v>2</v>
      </c>
      <c r="H25" s="1">
        <f t="shared" si="6"/>
        <v>6</v>
      </c>
      <c r="I25" s="5">
        <f t="shared" si="5"/>
        <v>0</v>
      </c>
    </row>
    <row r="26" spans="2:11">
      <c r="B26" t="s">
        <v>51</v>
      </c>
      <c r="C26" t="s">
        <v>8</v>
      </c>
      <c r="D26" s="1">
        <v>4</v>
      </c>
      <c r="F26" s="1">
        <v>2</v>
      </c>
      <c r="G26" s="1">
        <f t="shared" si="0"/>
        <v>2</v>
      </c>
      <c r="H26" s="1">
        <f t="shared" si="6"/>
        <v>2</v>
      </c>
      <c r="I26" s="5">
        <f t="shared" si="5"/>
        <v>0</v>
      </c>
    </row>
    <row r="27" spans="2:11">
      <c r="B27" t="s">
        <v>52</v>
      </c>
      <c r="C27" t="s">
        <v>8</v>
      </c>
      <c r="D27" s="1">
        <v>9</v>
      </c>
      <c r="F27" s="1">
        <v>13</v>
      </c>
      <c r="G27" s="1">
        <f t="shared" si="0"/>
        <v>9</v>
      </c>
      <c r="H27" s="1">
        <f t="shared" si="6"/>
        <v>0</v>
      </c>
      <c r="I27" s="5">
        <f t="shared" ref="I27:I32" si="7" xml:space="preserve">MAX(0, F27 - G27)</f>
        <v>4</v>
      </c>
    </row>
    <row r="28" spans="2:11">
      <c r="B28" t="s">
        <v>53</v>
      </c>
      <c r="C28" t="s">
        <v>8</v>
      </c>
      <c r="D28" s="1">
        <v>1</v>
      </c>
      <c r="F28" s="1">
        <v>1</v>
      </c>
      <c r="G28" s="1">
        <f t="shared" si="0"/>
        <v>1</v>
      </c>
      <c r="H28" s="1">
        <f t="shared" si="6"/>
        <v>0</v>
      </c>
      <c r="I28" s="5">
        <f t="shared" si="7"/>
        <v>0</v>
      </c>
    </row>
    <row r="29" spans="2:11">
      <c r="B29" t="s">
        <v>54</v>
      </c>
      <c r="C29" t="s">
        <v>8</v>
      </c>
      <c r="D29" s="1">
        <v>3</v>
      </c>
      <c r="F29" s="1">
        <v>3</v>
      </c>
      <c r="G29" s="1">
        <f t="shared" si="0"/>
        <v>3</v>
      </c>
      <c r="H29" s="1">
        <f t="shared" si="6"/>
        <v>0</v>
      </c>
      <c r="I29" s="5">
        <f t="shared" si="7"/>
        <v>0</v>
      </c>
    </row>
    <row r="30" spans="2:11">
      <c r="B30" t="s">
        <v>55</v>
      </c>
      <c r="C30" t="s">
        <v>8</v>
      </c>
      <c r="D30" s="1">
        <v>16</v>
      </c>
      <c r="F30" s="1">
        <v>17</v>
      </c>
      <c r="G30" s="1">
        <f t="shared" si="0"/>
        <v>16</v>
      </c>
      <c r="H30" s="1">
        <f t="shared" si="6"/>
        <v>0</v>
      </c>
      <c r="I30" s="5">
        <f t="shared" si="7"/>
        <v>1</v>
      </c>
    </row>
    <row r="31" spans="2:11">
      <c r="B31" t="s">
        <v>56</v>
      </c>
      <c r="C31" t="s">
        <v>8</v>
      </c>
      <c r="D31" s="1">
        <v>1</v>
      </c>
      <c r="F31" s="1">
        <v>2</v>
      </c>
      <c r="G31" s="1">
        <f t="shared" si="0"/>
        <v>1</v>
      </c>
      <c r="H31" s="1">
        <f t="shared" si="6"/>
        <v>0</v>
      </c>
      <c r="I31" s="5">
        <f t="shared" si="7"/>
        <v>1</v>
      </c>
    </row>
    <row r="32" spans="2:11">
      <c r="B32" t="s">
        <v>57</v>
      </c>
      <c r="C32" t="s">
        <v>8</v>
      </c>
      <c r="D32" s="1">
        <v>2</v>
      </c>
      <c r="F32" s="1">
        <v>2</v>
      </c>
      <c r="G32" s="1">
        <f t="shared" si="0"/>
        <v>2</v>
      </c>
      <c r="H32" s="1">
        <f t="shared" si="6"/>
        <v>0</v>
      </c>
      <c r="I32" s="5">
        <f t="shared" si="7"/>
        <v>0</v>
      </c>
    </row>
    <row r="33" spans="4:9">
      <c r="D33" s="1">
        <f xml:space="preserve">SUM(D2:D32)</f>
        <v>279</v>
      </c>
      <c r="F33" s="1">
        <f xml:space="preserve">SUM(F2:F32)</f>
        <v>293</v>
      </c>
      <c r="G33" s="5">
        <f xml:space="preserve">SUM(G2:G32)</f>
        <v>232</v>
      </c>
      <c r="H33" s="5">
        <f xml:space="preserve">SUM(H2:H32)</f>
        <v>47</v>
      </c>
      <c r="I33" s="5">
        <f xml:space="preserve">SUM(I2:I32)</f>
        <v>61</v>
      </c>
    </row>
    <row r="34" spans="4:9">
      <c r="G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Expert 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WPS_1789928980</cp:lastModifiedBy>
  <dcterms:created xsi:type="dcterms:W3CDTF">2015-06-05T18:17:00Z</dcterms:created>
  <dcterms:modified xsi:type="dcterms:W3CDTF">2026-10-18T08:15:56Z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8EAA6F047A1F4B9DA1BD5F57D2E37DF3_12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